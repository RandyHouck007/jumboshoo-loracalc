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9d97cab97dddb08/Documents/Projects/_ERP/LoRa/"/>
    </mc:Choice>
  </mc:AlternateContent>
  <xr:revisionPtr revIDLastSave="0" documentId="8_{8A023384-F902-433F-9CFB-DC64D1D2E03F}" xr6:coauthVersionLast="47" xr6:coauthVersionMax="47" xr10:uidLastSave="{00000000-0000-0000-0000-000000000000}"/>
  <bookViews>
    <workbookView xWindow="-120" yWindow="-120" windowWidth="29040" windowHeight="15720" tabRatio="500" xr2:uid="{00000000-000D-0000-FFFF-FFFF00000000}"/>
  </bookViews>
  <sheets>
    <sheet name="Info" sheetId="1" r:id="rId1"/>
    <sheet name="Calculator" sheetId="2" r:id="rId2"/>
    <sheet name="Presets" sheetId="3" r:id="rId3"/>
    <sheet name="Profiles" sheetId="4" r:id="rId4"/>
    <sheet name="Lookup" sheetId="5" r:id="rId5"/>
    <sheet name="Referenc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5" i="2" l="1"/>
  <c r="C54" i="2"/>
  <c r="C52" i="2"/>
  <c r="C51" i="2"/>
  <c r="C50" i="2"/>
  <c r="C49" i="2"/>
  <c r="F35" i="2"/>
  <c r="F29" i="2"/>
  <c r="C29" i="2"/>
  <c r="C25" i="2"/>
  <c r="C16" i="2"/>
  <c r="C18" i="2" s="1"/>
  <c r="C13" i="2"/>
  <c r="C15" i="2" s="1"/>
  <c r="F10" i="2"/>
  <c r="C10" i="2"/>
  <c r="C8" i="2"/>
  <c r="C7" i="2"/>
  <c r="C6" i="2"/>
  <c r="C56" i="2" s="1"/>
  <c r="E4" i="2"/>
  <c r="C22" i="2" l="1"/>
  <c r="F22" i="2" s="1"/>
  <c r="C21" i="2"/>
  <c r="F21" i="2" l="1"/>
  <c r="E24" i="2" s="1"/>
  <c r="F25" i="2"/>
  <c r="C35" i="2" l="1"/>
  <c r="C53" i="2"/>
  <c r="E44" i="2"/>
  <c r="E45" i="2" s="1"/>
  <c r="C33" i="2"/>
  <c r="F33" i="2" s="1"/>
  <c r="C44" i="2"/>
  <c r="F34" i="2"/>
  <c r="F28" i="2"/>
  <c r="C30" i="2" s="1"/>
  <c r="F30" i="2" s="1"/>
  <c r="C28" i="2"/>
  <c r="C34" i="2" l="1"/>
  <c r="E37" i="2"/>
  <c r="C45" i="2"/>
  <c r="F45" i="2" s="1"/>
  <c r="F44" i="2"/>
</calcChain>
</file>

<file path=xl/sharedStrings.xml><?xml version="1.0" encoding="utf-8"?>
<sst xmlns="http://schemas.openxmlformats.org/spreadsheetml/2006/main" count="545" uniqueCount="454">
  <si>
    <t>📡  Jumbo Shoo Project — LoRa Airtime &amp; Compliance Calculator</t>
  </si>
  <si>
    <t>User Guide, Purpose &amp; Revision History</t>
  </si>
  <si>
    <t>This spreadsheet calculates LoRa radio transmission airtime and checks regulatory compliance for the Jumbo Shoo fixed geophone sensor network. Sensor nodes transmit heartbeat, status, and seismic detection event packets to a central brain module (Raspberry Pi) over raw LoRa. The system supports both EU 868 MHz and US 915 MHz frequency bands.
Enter your radio parameters and the sheet instantly shows Time on Air (ms), energy consumed per transmission, estimated node battery life, and whether your configuration is within the legal duty cycle (EU) or dwell time (US) limits. Section F provides a dedicated analysis of the detection event channel, showing sensor re-arm time and maximum event rate on g vs g3 sub-bands. This tool is designed for single-sensor configuration and link budget analysis. For multi-sensor array deployments, CAD backoff and channel staggering considerations are documented in the Profiles tab — these are future implementation notes and do not affect single-sensor calculations.</t>
  </si>
  <si>
    <t>1.  Workbook Structure</t>
  </si>
  <si>
    <t>Tab</t>
  </si>
  <si>
    <t>Description</t>
  </si>
  <si>
    <t>Calculator</t>
  </si>
  <si>
    <t>Main working sheet. Enter parameters here and read all results. Section F provides independent detection event channel analysis (re-arm time, max event rate). Most users only need this tab.</t>
  </si>
  <si>
    <t>Presets</t>
  </si>
  <si>
    <t>Predefined sensor payload profiles (Sensor Heartbeat, Status Report, Detection Event, Alive Ping). Select a preset from the dropdown on the Calculator tab. Edit the Custom row to define your own configuration.</t>
  </si>
  <si>
    <t>Profiles</t>
  </si>
  <si>
    <t>Byte-level payload specifications for all four sensor profiles. Field names, sizes, encoding, and notes for each frame type. Includes implementation notes on byte order, timestamp sync, and simultaneous event handling.</t>
  </si>
  <si>
    <t>Lookup</t>
  </si>
  <si>
    <t>Reference tables. TX Power → current draw, and EU sub-band duty cycle limits. These tables feed the dropdowns and VLOOKUP formulas on other tabs — do not edit.</t>
  </si>
  <si>
    <t>References</t>
  </si>
  <si>
    <t>Technical standards, datasheets, and formula sources used to build this calculator.</t>
  </si>
  <si>
    <t>2.  Quick Start — 5 Steps</t>
  </si>
  <si>
    <t>Step 1 — Choose Region</t>
  </si>
  <si>
    <t>On the Calculator tab, set Region (cell F6) to 1 for EU 868 MHz or 2 for US 915 MHz. This switches the compliance check between EU duty cycle and US dwell time rules.</t>
  </si>
  <si>
    <t>Step 2 — Select a Preset</t>
  </si>
  <si>
    <t>Use the Active Preset dropdown (cell C4) to load a predefined sensor profile. Options are tuned for typical Jumbo Shoo packet types. Choose Custom to define your own — edit the Custom row on the Presets tab.</t>
  </si>
  <si>
    <t>Step 3 — Adjust Parameters</t>
  </si>
  <si>
    <t>If needed, override individual parameters: Preamble Symbols (C9), CRC (C11), Explicit Header (C12), Supply Voltage (C17), TX Interval (F8), and Battery Capacity (F9) are free-edit inputs. EU Sub-band (F7) selects your operating band and its duty cycle limit.</t>
  </si>
  <si>
    <t>Step 4 — Read Results</t>
  </si>
  <si>
    <t>Section C shows Time on Air. Section D shows energy per transmission and estimated battery life (TX-only — add MCU and sensor peripheral current for a full system model). Section E shows compliance status, which turns green (compliant) or red (breach). Section F shows detection event channel analysis: re-arm time and max event rate on g (1%) vs g3 (10%) sub-band side by side.</t>
  </si>
  <si>
    <t>Step 5 — Iterate</t>
  </si>
  <si>
    <t>If you see a compliance breach or the battery life is too short, try reducing SF, increasing BW, reducing TX interval, or switching to a sub-band with a higher duty limit (e.g. g3 at 10%).</t>
  </si>
  <si>
    <t>3.  Parameter Reference</t>
  </si>
  <si>
    <t>Parameter / Cell</t>
  </si>
  <si>
    <t>What it means and valid values</t>
  </si>
  <si>
    <t>Active Preset  (C4)</t>
  </si>
  <si>
    <t>Selects a pre-loaded sensor payload profile that auto-fills SF, BW, CR, Payload, and TX Power. Options: Sensor Heartbeat, Status Report, Detection Event, Alive Ping, Custom.</t>
  </si>
  <si>
    <t>Spreading Factor  (C6)</t>
  </si>
  <si>
    <t>SF7–SF12. Higher SF = longer range and better sensitivity, but longer airtime and higher energy. SF12 is ~100× slower than SF7. Preset-driven when a profile is selected.</t>
  </si>
  <si>
    <t>Bandwidth  (C7)</t>
  </si>
  <si>
    <t>125 / 250 / 500 kHz. Wider bandwidth = shorter airtime but reduced range. US915 commonly uses 500 kHz for uplinks. Preset-driven.</t>
  </si>
  <si>
    <t>Coding Rate  (C8)</t>
  </si>
  <si>
    <t>Denominator of 4/N: values 5–8. Higher N = more redundancy and error correction, slightly longer airtime. 4/5 is standard. Preset-driven.</t>
  </si>
  <si>
    <t>Preamble Symbols  (C9)</t>
  </si>
  <si>
    <t>Number of preamble symbols. Default is 8 (LoRaWAN standard). Increase for better sync reliability in noisy environments. Free-edit.</t>
  </si>
  <si>
    <t>Payload Size  (C10)</t>
  </si>
  <si>
    <t>Bytes of application payload (not including LoRa MAC overhead). Typical values: 8–12 B (ping), 20 B (GPS fix), 42 B (GPS + sensors). Preset-driven.</t>
  </si>
  <si>
    <t>CRC  (C11)</t>
  </si>
  <si>
    <t>Cyclic Redundancy Check: 1=enabled (recommended), 0=disabled. Adds 2 bytes of error detection. Keep enabled unless you have a specific reason to disable.</t>
  </si>
  <si>
    <t>Explicit Header  (C12)</t>
  </si>
  <si>
    <t>1=Explicit (recommended), 0=Implicit. Explicit header carries SF/BW/CR in the packet — required unless all devices are pre-configured identically.</t>
  </si>
  <si>
    <t>LDRO Required  (C13)</t>
  </si>
  <si>
    <t>Calculated automatically. Low Data Rate Optimization is mandatory when symbol duration &gt; 16 ms (i.e. SF11/12 at 125 kHz). Read-only.</t>
  </si>
  <si>
    <t>LDRO Manual Override  (C14)</t>
  </si>
  <si>
    <t>Set to 1 to enable LDRO when it is not automatically required (e.g. SF12 at 500 kHz on US915). Has no effect when C13 = 1 (LDRO already forced on). Free-edit: 0 or 1.</t>
  </si>
  <si>
    <t>TX Power  (C16)</t>
  </si>
  <si>
    <t>Transmit power in dBm. Dropdown sourced from Lookup tab. Select cell to see current draw for each option. EU regulatory limit: 14 dBm EIRP for sub-bands g/g1. RFM95W hardware max: 20 dBm (PA_BOOST, 1% duty cycle limit at that level). Continuous operation: 17 dBm. Preset-driven, EU/US auto-selected.</t>
  </si>
  <si>
    <t>Supply Voltage  (C17)</t>
  </si>
  <si>
    <t>Battery voltage in volts. Affects energy per TX calculation. Typical values: 3.3 V (regulated), 3.7 V (LiPo nominal), 4.2 V (LiPo fully charged). Free-edit.</t>
  </si>
  <si>
    <t>Region  (F6)</t>
  </si>
  <si>
    <t>1 = EU 868 MHz (duty cycle compliance checked). 2 = US 915 MHz (dwell time checked). Switches the entire compliance section and auto-selects TX power from the preset.</t>
  </si>
  <si>
    <t>EU Sub-band  (F7)</t>
  </si>
  <si>
    <t>Active only when Region = EU. Options: g (1%), g1 (1%), g2 (0.1%), g3 (10%). Grayed out when Region = US. Sets the duty cycle limit used in Section E.</t>
  </si>
  <si>
    <t>TX Interval  (F8)</t>
  </si>
  <si>
    <t>How often a transmission is sent, in minutes. Used to calculate transmissions per hour and total duty cycle consumed. Free-edit.</t>
  </si>
  <si>
    <t>Battery Capacity  (F9)</t>
  </si>
  <si>
    <t>Total battery capacity in mAh. Used to estimate battery life based on TX-only current draw. Note: add idle current, MCU, and GPS fix power for a full system model. Free-edit.</t>
  </si>
  <si>
    <t>4.  Color Coding Guide</t>
  </si>
  <si>
    <t>Blue bold text, white cell</t>
  </si>
  <si>
    <t>Editable input — you can and should change these values.</t>
  </si>
  <si>
    <t>Orange bold text, amber cell</t>
  </si>
  <si>
    <t>Preset-driven input — value comes from the selected preset. Change via Active Preset dropdown, or choose Custom.</t>
  </si>
  <si>
    <t>Black text, light gray cell</t>
  </si>
  <si>
    <t>Calculated value — do not edit. Derived from your inputs using the LoRa airtime formula.</t>
  </si>
  <si>
    <t>White text, dark green header</t>
  </si>
  <si>
    <t>Section header — organises the sheet into logical groups.</t>
  </si>
  <si>
    <t>White text, dark green cell</t>
  </si>
  <si>
    <t>Compliant result — your configuration is within the regulatory limit.</t>
  </si>
  <si>
    <t>White text, deep red cell</t>
  </si>
  <si>
    <t>Breach — configuration exceeds the regulatory limit. Adjust SF, BW, payload, TX interval, or sub-band.</t>
  </si>
  <si>
    <t>Gray text, gray cell</t>
  </si>
  <si>
    <t>Inactive field — not applicable for the current region. EU Sub-band is grayed out when Region = US.</t>
  </si>
  <si>
    <t>5.  Regulatory Compliance Summary</t>
  </si>
  <si>
    <t>EU 868 MHz — Duty Cycle</t>
  </si>
  <si>
    <t>Under ETSI EN 300 220, transmitters must not exceed a defined duty cycle within any 1-hour window. The limit depends on sub-band: g and g1 = 1%, g2 = 0.1% (very restrictive — avoid for frequent sensor TX), g3 = 10% (recommended for detection event channels). The calculator shows the percentage of the limit consumed at your chosen TX interval and flags a breach if you exceed it.</t>
  </si>
  <si>
    <t>US 915 MHz — Dwell Time</t>
  </si>
  <si>
    <t>Under FCC §15.247, frequency-hopping spread spectrum (FHSS) devices must use at least 50 channels and must not dwell on any single channel for more than 400 ms per transmission. There is no fixed duty cycle limit, but each individual packet's airtime must stay under 400 ms. The calculator checks this and flags a breach for SF/BW combinations that exceed it.</t>
  </si>
  <si>
    <t>LDRO (Low Data Rate Optimization)</t>
  </si>
  <si>
    <t>Required by the Semtech specification when the symbol duration exceeds 16 ms (SF11 or SF12 at 125 kHz BW). When active, it modifies the payload symbol count formula to maintain demodulator accuracy. The calculator enables this automatically and clearly shows whether it is required or manually set.</t>
  </si>
  <si>
    <t>6.  Revision History</t>
  </si>
  <si>
    <t>Rev / Date</t>
  </si>
  <si>
    <t>Changes</t>
  </si>
  <si>
    <t>v1.0  —  Feb 2026</t>
  </si>
  <si>
    <t>Initial release. Semtech AN1200.13 airtime formula, EU duty cycle and US dwell time compliance, TX power / current lookup, four payload presets, energy per TX and battery life estimate.</t>
  </si>
  <si>
    <t>v1.1  —  Feb 2026</t>
  </si>
  <si>
    <t>Added LDRO logic with correct Tsym &gt; 16 ms threshold (replaces incorrect SF/BW heuristic). Manual LDRO override added for US915 SF12/BW500 use case.</t>
  </si>
  <si>
    <t>v1.2  —  Feb 2026</t>
  </si>
  <si>
    <t>TX Power extended to 23 dBm (US 915 only). VLOOKUP corrected to Lookup!B:C range.</t>
  </si>
  <si>
    <t>v1.3  —  Feb 2026</t>
  </si>
  <si>
    <t>Full visual restyle: high-contrast light theme replacing dark-on-dark. Compliance status cell color-coded red/green via conditional formatting.</t>
  </si>
  <si>
    <t>v1.4  —  Feb 2026</t>
  </si>
  <si>
    <t>Dropdown validation added to all constrained inputs (SF, BW, CR, CRC, Header, LDRO, TX Power, Region). Presets tab added with four sensor payload profiles. Preset selector row added to Calculator tab.</t>
  </si>
  <si>
    <t>v1.5  —  Feb 2026</t>
  </si>
  <si>
    <t>EU sub-band selector added (g/g1/g2/g3). Duty cycle limit now VLOOKUP-driven from sub-band table. EU compliance rows hidden when Region = US. US dwell row hidden when Region = EU.</t>
  </si>
  <si>
    <t>v1.6  —  Feb 2026</t>
  </si>
  <si>
    <t>Band reference table moved from Presets to Lookup tab. TX Power dropdowns on Presets now sourced from Lookup with dBm|mA tooltip. Lookup tab dropdown on keys removed. EU sub-band grayed out when US region selected.</t>
  </si>
  <si>
    <t>v1.7  —  Feb 2026</t>
  </si>
  <si>
    <t>TX Power dropdowns simplified: cells store numeric dBm, dropdown shows numeric list, input-message tooltip shows full dBm→mA reference on cell selection. C16 formula simplified to direct INDEX/MATCH. Info, References, and Revision tabs added.</t>
  </si>
  <si>
    <t>v1.8  —  Feb 2026</t>
  </si>
  <si>
    <t>Project renamed Jumbo Shoo Project. Sensor/geophone terminology throughout. Preset profiles updated for fixed sensor network. Detection Event Channel analysis added as compact EU re-arm reference (Section F). Battery life changed to years. Min TX interval unit bug fixed.</t>
  </si>
  <si>
    <t>v1.9  —  Feb 2026</t>
  </si>
  <si>
    <t>Hardware corrected to RFM95W (HopeRF, SX1276-based). TX power options capped at 20 dBm (22/23 dBm removed — not achievable on RFM95W). Current draw values updated to RFM95W Table 5 (20→120 mA, 17→87 mA). +20 dBm duty cycle warning added to Lookup table. All preset defaults updated: SF12, CR 4/6, TX Power EU=14, US=20 (per RFM95W §2.4.5 test conditions). Profiles tab added to Info workbook structure. RFM95W datasheet added to References Section E.</t>
  </si>
  <si>
    <t>v2.0  —  Feb 2026</t>
  </si>
  <si>
    <t>Single-sensor scope clarified throughout. Calculator subtitle, Info purpose paragraph, and Profiles tab all explicitly state the tool models single-sensor configurations only. Multi-sensor array notes added to Profiles tab: single-sensor scope notice, CAD backoff algorithm with timing values from Hoang et al. 2020 Table 1 (SF7–12, BW125), channel frequency staggering guidance for EU g3, and recommendation against full ST/CA slotted framing for small arrays. ST/CA paper (Hoang et al., Procedia Computer Science 177, 2020) added to References tab Section F.</t>
  </si>
  <si>
    <t>v2.1  —  Feb 2026</t>
  </si>
  <si>
    <t>TX current table (Lookup Section A) corrected and documented. PA regime architecture clarified per RFM95W/SX1276 datasheet: RFO_HF path (2–14 dBm) anchored at Table 5 points 7 dBm/20 mA and 13 dBm/29 mA; intermediate values linearly interpolated at 1.5 mA/dBm and labelled [est.] in dropdowns. PA_BOOST path (17–20 dBm) uses Table 5 direct values unchanged. 15–16 dBm gap (PA transition zone) explicitly omitted — current indeterminate. Corrected values: 2 dBm 19→13 mA, 5 dBm 20→17 mA, 8 dBm 23→22 mA, 11 dBm 25→26 mA, 14 dBm 32→31 mA. PA regime note added to Lookup row 14. References R32 updated with derivation methodology.</t>
  </si>
  <si>
    <t>v2.2  —  Feb 2026</t>
  </si>
  <si>
    <t>SF6 support added. SF6 is the minimum spreading factor on RFM95W/SX1276 and halves ToA vs SF7 but requires implicit header mode (SX1276 hardware constraint). Changes: (1) SF dropdown extended to 6–12; (2) payloadSymbNb formula auto-forces H=1 when SF=6; (3) Section G W8 added — violation if SF=6 with explicit header enabled; (4) Profiles Detection Event note updated with SF6 option and constraints; (5) C18 VLOOKUP fallback corrected 32→31 mA.</t>
  </si>
  <si>
    <t>Semtech AN1200.13  ·  EU ETSI EN 300 220  ·  US FCC §15.247   |   Blue = manual inputs  ·  Orange = preset-driven (change via Active Preset selector)  ·  Black = calculated   |   ⚠ Single-sensor model — see Profiles tab for multi-sensor array notes</t>
  </si>
  <si>
    <t>Active Preset</t>
  </si>
  <si>
    <t>Sensor Heartbeat</t>
  </si>
  <si>
    <t>A.  LoRa Radio Parameters</t>
  </si>
  <si>
    <t>B.  Transmission Settings</t>
  </si>
  <si>
    <t>Spreading Factor  [preset]</t>
  </si>
  <si>
    <t>Region (EU=1, US=2)</t>
  </si>
  <si>
    <t>Bandwidth (kHz)  [preset]</t>
  </si>
  <si>
    <t>EU Sub-band  (EU only)</t>
  </si>
  <si>
    <t>g</t>
  </si>
  <si>
    <t>Coding Rate (4/N)  [preset]</t>
  </si>
  <si>
    <t>TX Interval (minutes)</t>
  </si>
  <si>
    <t>Preamble Symbols</t>
  </si>
  <si>
    <t>Battery Capacity (mAh)</t>
  </si>
  <si>
    <t>Payload Size (bytes)  [preset]</t>
  </si>
  <si>
    <t>Region Label</t>
  </si>
  <si>
    <t>CRC Enabled? (1=yes, 0=no)</t>
  </si>
  <si>
    <t>Explicit Header? (1=yes, 0=no)</t>
  </si>
  <si>
    <t>LDRO Required? (Tsym &gt; 16 ms)</t>
  </si>
  <si>
    <t>LDRO Manual Override (0=off, 1=on)</t>
  </si>
  <si>
    <t>LDRO Active (used in calc)</t>
  </si>
  <si>
    <t>TX Power (dBm)  [preset, EU/US auto]</t>
  </si>
  <si>
    <t>Supply Voltage (V)</t>
  </si>
  <si>
    <t>TX Current (mA)  [from Lookup]</t>
  </si>
  <si>
    <t>C.  Calculated Results</t>
  </si>
  <si>
    <t>Symbol Duration (ms)</t>
  </si>
  <si>
    <t>Preamble Duration (ms)</t>
  </si>
  <si>
    <t>Payload Symbols (n)</t>
  </si>
  <si>
    <t>Payload Duration (ms)</t>
  </si>
  <si>
    <t>⏱  TIME ON AIR (ms)</t>
  </si>
  <si>
    <t>Effective Bitrate (kbps)</t>
  </si>
  <si>
    <t>Symbol Duration (Tsym ms)</t>
  </si>
  <si>
    <t>D.  Energy per Transmission</t>
  </si>
  <si>
    <t>Energy per TX (mJ)</t>
  </si>
  <si>
    <t>Charge per TX (µAh)</t>
  </si>
  <si>
    <t>TX per hour</t>
  </si>
  <si>
    <t>TX per day</t>
  </si>
  <si>
    <t>TX mAh consumed / day</t>
  </si>
  <si>
    <t>Battery Life — TX only (years)</t>
  </si>
  <si>
    <t>E.  Regulatory Compliance  (EU: duty cycle  ·  US: dwell time)</t>
  </si>
  <si>
    <t>Duty cycle used per TX  (EU)</t>
  </si>
  <si>
    <t>Duty cycle used per hour  (EU)</t>
  </si>
  <si>
    <t>% of EU duty budget consumed</t>
  </si>
  <si>
    <t>Max TX/hr  (EU duty limit)</t>
  </si>
  <si>
    <t>Min TX interval — EU (seconds)</t>
  </si>
  <si>
    <t>US Dwell Time OK? (≤400 ms)</t>
  </si>
  <si>
    <t>Compliance Status</t>
  </si>
  <si>
    <t>Note: Battery life is TX-only. Add idle/sleep current, MCU draw, and any peripheral power for a full system model. TX current figures are SX1262/SX1276 typical values.</t>
  </si>
  <si>
    <t>F.  Sensor Re-arm Reference  (EU only — driven by current ToA)</t>
  </si>
  <si>
    <t>Select the Detection Event preset to see re-arm time for that payload. Values are always live — driven by the current ToA. g3 (10% duty) is recommended for the EU detection event channel.</t>
  </si>
  <si>
    <t>Metric</t>
  </si>
  <si>
    <t>g / g1  (1% duty)</t>
  </si>
  <si>
    <t>g3  (10% duty)</t>
  </si>
  <si>
    <t>Improvement</t>
  </si>
  <si>
    <t>Min re-arm per sensor (s)</t>
  </si>
  <si>
    <t>Max detection events / hr</t>
  </si>
  <si>
    <t>EU only. g3 (869.4–869.65 MHz, 10% duty) max BW = 125 kHz. For US 915 there is no duty cycle limit — dwell time rule (≤400 ms) applies instead.</t>
  </si>
  <si>
    <t>G.  Configuration Warnings</t>
  </si>
  <si>
    <t>BW + Sub-band (EU)</t>
  </si>
  <si>
    <t>BW250 + g3 caution (EU)</t>
  </si>
  <si>
    <t>TX Power limit (EU)</t>
  </si>
  <si>
    <t>TX Power 20 dBm duty limit</t>
  </si>
  <si>
    <t>US Dwell Time (US only)</t>
  </si>
  <si>
    <t>g2 sub-band caution (EU)</t>
  </si>
  <si>
    <t>Preamble symbols</t>
  </si>
  <si>
    <t>SF6 + Explicit Header</t>
  </si>
  <si>
    <t>Warnings update live with your inputs. Green = within specification.  Amber ⚠ = caution / marginal condition.  Red ✗ = regulatory or hardware violation.</t>
  </si>
  <si>
    <t>📡  Jumbo Shoo Project — Sensor Payload Profiles</t>
  </si>
  <si>
    <t>Reference profiles for Jumbo Shoo fixed geophone sensor nodes.  Select a preset on the Calculator tab to auto-fill SF / BW / CR / Payload / TX Power.</t>
  </si>
  <si>
    <t>A.  Sensor Payload Profiles</t>
  </si>
  <si>
    <t>Profile</t>
  </si>
  <si>
    <t>SF</t>
  </si>
  <si>
    <t>BW (kHz)</t>
  </si>
  <si>
    <t>CR (N)</t>
  </si>
  <si>
    <t>Payload (B)</t>
  </si>
  <si>
    <t>TX Pwr EU</t>
  </si>
  <si>
    <t>TX Pwr US</t>
  </si>
  <si>
    <t>Region</t>
  </si>
  <si>
    <t>Notes</t>
  </si>
  <si>
    <t>Node alive + battery voltage + temperature</t>
  </si>
  <si>
    <t>Both</t>
  </si>
  <si>
    <t>Standard interval heartbeat</t>
  </si>
  <si>
    <t>Status Report</t>
  </si>
  <si>
    <t>RPi diagnostics + sensor health metrics</t>
  </si>
  <si>
    <t>Periodic full status burst</t>
  </si>
  <si>
    <t>Detection Event</t>
  </si>
  <si>
    <t>Seismic trigger: node ID + timestamp + amplitude</t>
  </si>
  <si>
    <t>Low-latency, min payload</t>
  </si>
  <si>
    <t>Alive Ping</t>
  </si>
  <si>
    <t>Minimal keepalive, low power</t>
  </si>
  <si>
    <t>Min power, min airtime</t>
  </si>
  <si>
    <t>Custom</t>
  </si>
  <si>
    <t>Edit values below — used when Custom selected on Calculator</t>
  </si>
  <si>
    <t>Freely editable</t>
  </si>
  <si>
    <t>⬆  When 'Custom' is selected on the Calculator tab, the SF / BW / CR / Payload / TX Power values above are used. Edit the blue cells to change them.</t>
  </si>
  <si>
    <t>📡  Jumbo Shoo Project — Sensor Payload Profile Specifications</t>
  </si>
  <si>
    <t>Byte-level payload definitions for each preset.  All profiles use explicit header and CRC enabled.  Packet type byte routes frames at the brain module.</t>
  </si>
  <si>
    <t>Sensor Heartbeat  —  Node alive · battery voltage · temperature</t>
  </si>
  <si>
    <t>SF8  ·  BW 125 kHz  ·  CR 4/5  ·  12 bytes  ·  EU 14 dBm / US 20 dBm  ·  LDRO off (Tsym 1.024 ms)</t>
  </si>
  <si>
    <t>Transmitted on a fixed interval (default 15 min). Confirms the sensor node is alive and provides essential health metrics. SF8 gives adequate link margin for fixed outdoor deployments without the current penalty of SF9+. Low payload keeps airtime short (~110 ms).</t>
  </si>
  <si>
    <t>Field</t>
  </si>
  <si>
    <t>Size</t>
  </si>
  <si>
    <t>Encoding</t>
  </si>
  <si>
    <t>Node ID</t>
  </si>
  <si>
    <t>1 B</t>
  </si>
  <si>
    <t>uint8 — node address 0–254 (255 = broadcast)</t>
  </si>
  <si>
    <t>Assigned at deployment</t>
  </si>
  <si>
    <t>Packet Type</t>
  </si>
  <si>
    <t>uint8 — 0x01 = Heartbeat</t>
  </si>
  <si>
    <t>Routes frame at brain module</t>
  </si>
  <si>
    <t>Timestamp</t>
  </si>
  <si>
    <t>4 B</t>
  </si>
  <si>
    <t>uint32 LE — Unix epoch seconds</t>
  </si>
  <si>
    <t>Brain module clock or sync reference</t>
  </si>
  <si>
    <t>Battery Voltage</t>
  </si>
  <si>
    <t>2 B</t>
  </si>
  <si>
    <t>uint16 LE — millivolts (3700 = 3.700 V)</t>
  </si>
  <si>
    <t>ADC reading pre-TX</t>
  </si>
  <si>
    <t>Temperature</t>
  </si>
  <si>
    <t>int16 LE — 0.01 °C  (2350 = 23.50 °C)</t>
  </si>
  <si>
    <t>DS18B20 or NTC onboard sensor</t>
  </si>
  <si>
    <t>Sequence No.</t>
  </si>
  <si>
    <t>uint16 LE — rolls over at 65535</t>
  </si>
  <si>
    <t>Detects missed packets at brain</t>
  </si>
  <si>
    <t>Total Payload:  12 bytes</t>
  </si>
  <si>
    <t>Status Report  —  RPi diagnostics · sensor health metrics</t>
  </si>
  <si>
    <t>SF8  ·  BW 125 kHz  ·  CR 4/5  ·  24 bytes  ·  EU 14 dBm / US 20 dBm  ·  LDRO off (Tsym 1.024 ms)</t>
  </si>
  <si>
    <t>Transmitted less frequently than heartbeat (suggested every 1–4 hr). Provides a full diagnostic snapshot of the Raspberry Pi brain module and geophone sensor health. Enables remote monitoring without physical access. Airtime ~150 ms at SF8/125 kHz.</t>
  </si>
  <si>
    <t>uint8 — node address</t>
  </si>
  <si>
    <t>uint8 — 0x02 = Status Report</t>
  </si>
  <si>
    <t>uint16 LE — millivolts</t>
  </si>
  <si>
    <t>Same encoding as Heartbeat</t>
  </si>
  <si>
    <t>RPi CPU Temp</t>
  </si>
  <si>
    <t>uint8 — °C integer (saturates at 127)</t>
  </si>
  <si>
    <t>vcgencmd measure_temp</t>
  </si>
  <si>
    <t>RPi CPU Load</t>
  </si>
  <si>
    <t>uint8 — 1-min load avg × 100, capped at 255</t>
  </si>
  <si>
    <t>From /proc/loadavg</t>
  </si>
  <si>
    <t>RPi Free RAM</t>
  </si>
  <si>
    <t>uint16 LE — MB free (from /proc/meminfo)</t>
  </si>
  <si>
    <t>Geophone Status</t>
  </si>
  <si>
    <t>Bitmask: bit0=active, bit1=fault, bit2=thresh</t>
  </si>
  <si>
    <t>0x01 = normal operation</t>
  </si>
  <si>
    <t>Detection Count</t>
  </si>
  <si>
    <t>uint16 LE — events since last Status Report</t>
  </si>
  <si>
    <t>Reset to 0 after each TX</t>
  </si>
  <si>
    <t>Last RSSI</t>
  </si>
  <si>
    <t>int8 — dBm + 200 offset  (120 = −80 dBm)</t>
  </si>
  <si>
    <t>Last downlink received RSSI</t>
  </si>
  <si>
    <t>Uptime</t>
  </si>
  <si>
    <t>uint32 LE — seconds since last reboot</t>
  </si>
  <si>
    <t>Firmware Version</t>
  </si>
  <si>
    <t>uint8 — BCD  (0x17 = v1.7)</t>
  </si>
  <si>
    <t>Reserved</t>
  </si>
  <si>
    <t>3 B</t>
  </si>
  <si>
    <t>0x00 — reserved for future use</t>
  </si>
  <si>
    <t>Pads frame to 24 bytes</t>
  </si>
  <si>
    <t>Total Payload:  24 bytes</t>
  </si>
  <si>
    <t>Detection Event  —  Seismic trigger · node ID + timestamp + amplitude</t>
  </si>
  <si>
    <t>SF7  ·  BW 125 kHz  ·  CR 4/5  ·  8 bytes  ·  EU 14 dBm / US 20 dBm  ·  LDRO off (Tsym 0.512 ms)</t>
  </si>
  <si>
    <t>Transmitted immediately on threshold crossing. SF7 keeps ToA under 40 ms, maximizing sensor re-arm speed. Recommended on EU g3 sub-band (869.4–869.65 MHz, 10% duty) for ~0.36 s re-arm versus ~3.6 s on g/g1. For co-located sensors, assign different sub-channels within g3 to reduce collision probability on simultaneous triggers. SF6 is also supported at this payload size and halves ToA to ~20 ms (g3 re-arm ~196 ms), but requires implicit header mode (SX1276 hardware constraint — explicit header is not supported at SF6). The payload length must be hardcoded in firmware on both sensor and brain. SF6 also uses a different sync word (0x65 vs 0x12) and has ~5 dB less link margin than SF7. Only suitable for fixed-length payloads in short-range deployments.</t>
  </si>
  <si>
    <t>uint8 — 0x03 = Detection Event</t>
  </si>
  <si>
    <t>uint32 LE — ms offset from shared epoch reference</t>
  </si>
  <si>
    <t>Sub-second precision for TOA localization</t>
  </si>
  <si>
    <t>Peak Amplitude</t>
  </si>
  <si>
    <t>uint8 — normalized 0–255 (255 = full ADC scale)</t>
  </si>
  <si>
    <t>Calibrated per deployment</t>
  </si>
  <si>
    <t>Event Flags</t>
  </si>
  <si>
    <t>bits 0-1: duration class  bits 2-3: SNR class  bit 4: secondary peak</t>
  </si>
  <si>
    <t>00=&lt;100ms  01=&lt;500ms  10=&lt;2s  11=&gt;2s</t>
  </si>
  <si>
    <t>Total Payload:  8 bytes</t>
  </si>
  <si>
    <t>Alive Ping  —  Minimal keepalive · lowest power</t>
  </si>
  <si>
    <t>SF7  ·  BW 125 kHz  ·  CR 4/5  ·  6 bytes  ·  EU 8 dBm / US 8 dBm  ·  LDRO off (Tsym 0.512 ms)</t>
  </si>
  <si>
    <t>Ultra-compact keepalive for battery-critical operation. Does not carry health metrics — use Sensor Heartbeat for diagnostics. 8 dBm TX power (24 mA vs 32 mA at 14 dBm) noticeably extends battery life when transmitted frequently. Suitable as a 'node still powered' signal between less-frequent Status Reports.</t>
  </si>
  <si>
    <t>uint8 — 0x04 = Alive Ping</t>
  </si>
  <si>
    <t>Minimal health signal</t>
  </si>
  <si>
    <t>Detects missed pings at brain</t>
  </si>
  <si>
    <t>Total Payload:  6 bytes</t>
  </si>
  <si>
    <t>Implementation Notes</t>
  </si>
  <si>
    <t>Byte order</t>
  </si>
  <si>
    <t>All multi-byte fields are little-endian (LE). Python struct pack/unpack: '&lt;H' = uint16, '&lt;I' = uint32, '&lt;h' = int16. Example: struct.pack('&lt;HI', voltage_mv, unix_ts)</t>
  </si>
  <si>
    <t>Packet type routing</t>
  </si>
  <si>
    <t>Brain module (RPi) switches on Packet Type byte: 0x01 → heartbeat handler, 0x02 → status handler, 0x03 → detection handler, 0x04 → ping handler. Unknown types: log and discard.</t>
  </si>
  <si>
    <t>Timestamp sync</t>
  </si>
  <si>
    <t>Nodes without RTC request time sync from brain module on startup. Brain broadcasts a Time Sync frame (suggested 0x10) with current Unix epoch. Detection Events should use a millisecond-resolution timestamp relative to a shared epoch reference for sub-second inter-sensor timing and arrival-time-based localization.</t>
  </si>
  <si>
    <t>Simultaneous detection events</t>
  </si>
  <si>
    <t>When multiple sensors trigger within milliseconds of each other, assign sensors to different sub-channels within g3 based on node ID or physical position. Sensors that are geographically close (and likely to co-trigger) should use different sub-channels to minimize collision probability.</t>
  </si>
  <si>
    <t>LoRaWAN migration</t>
  </si>
  <si>
    <t>These profiles are for raw LoRa point-to-point. If a LoRaWAN network stack is added later, prepend the LoRaWAN FHDR (7–22 B) and MIC (4 B) and adjust payload sizes in the Calculator.</t>
  </si>
  <si>
    <t>Time / Config Sync  —  Downlink from brain · updates sensor operating parameters</t>
  </si>
  <si>
    <t>Transmitted by brain module (RPi → sensor). SF and channel are negotiated — see Single-Config Recommendation below.</t>
  </si>
  <si>
    <t>Downlink frame sent by the brain module to update sensor time reference and operating parameters without physical redeployment. Sensors listen on a known fallback config (SF9/BW125/g, defined at compile time) for one short window after each heartbeat transmission. New parameters are written to EEPROM and take effect immediately. Packet type 0x10 is reserved — sensor firmware must not use 0x10 for uplink frames.</t>
  </si>
  <si>
    <t>uint8 — 0x10 = Time/Config Sync (downlink)</t>
  </si>
  <si>
    <t>Sensors discard any uplink 0x10 frame</t>
  </si>
  <si>
    <t>Unix Timestamp</t>
  </si>
  <si>
    <t>uint32 LE — current Unix epoch seconds</t>
  </si>
  <si>
    <t>Sensor sets RTC / epoch reference</t>
  </si>
  <si>
    <t>New SF</t>
  </si>
  <si>
    <t>uint8 — spreading factor 7–12 (0xFF = no change)</t>
  </si>
  <si>
    <t>0xFF = keep current SF</t>
  </si>
  <si>
    <t>New BW</t>
  </si>
  <si>
    <t>uint8 — BW code: 1=125kHz 2=250kHz 3=500kHz (0xFF = no change)</t>
  </si>
  <si>
    <t>0xFF = keep current BW</t>
  </si>
  <si>
    <t>New TX Power</t>
  </si>
  <si>
    <t>uint8 — dBm 2–20 (0xFF = no change)</t>
  </si>
  <si>
    <t>0xFF = keep current TX power</t>
  </si>
  <si>
    <t>New Sub-band</t>
  </si>
  <si>
    <t>uint8 — 0=g 1=g1 2=g2 3=g3 (0xFF = no change)</t>
  </si>
  <si>
    <t>EU only — ignored on US 915</t>
  </si>
  <si>
    <t>New TX Interval</t>
  </si>
  <si>
    <t>uint16 LE — heartbeat interval in seconds (0xFFFF = no change)</t>
  </si>
  <si>
    <t>0xFFFF = keep current interval</t>
  </si>
  <si>
    <t>Config Version</t>
  </si>
  <si>
    <t>uint8 — increments on each config change</t>
  </si>
  <si>
    <t>Sensor echoes in next heartbeat to confirm receipt</t>
  </si>
  <si>
    <t>0x00</t>
  </si>
  <si>
    <t>Pads to 13 bytes</t>
  </si>
  <si>
    <t>Total Payload:  13 bytes</t>
  </si>
  <si>
    <t>Single-Config Recommendation — SF7 / BW125 / g3 for all frame types</t>
  </si>
  <si>
    <t>Why single config?</t>
  </si>
  <si>
    <t>SF7/BW125/g3 gives a 0.70 s re-arm even at 24 bytes payload (the full Status Report). That is 24× better than SF12 at the same payload, and only 1.8× worse than SF7 at 8 bytes. The SF choice dominates — payload trimming is a secondary gain. One config, one channel, one thing for the brain to listen on continuously.</t>
  </si>
  <si>
    <t>Default operating config</t>
  </si>
  <si>
    <t>All sensors boot into SF7/BW125/g3 regardless of frame type being sent. Detection events, heartbeats, status reports, and pings all transmit on this config. No config switching between frame types — no state machine, no timing coordination.</t>
  </si>
  <si>
    <t>When to use the Config Sync frame</t>
  </si>
  <si>
    <t>Use 0x10 only to change operating parameters across the whole deployment (e.g. switching from SF7 to SF9 if a sensor develops a marginal link after vegetation growth, or changing heartbeat interval for a low-battery node). It is not used for per-frame-type switching. Brain sends 0x10 via SSH/web UI config change → sensors pick it up at next heartbeat listen window.</t>
  </si>
  <si>
    <t>Does the RPi need rebooting?</t>
  </si>
  <si>
    <t>No. The brain module's LoRa service is a userspace process (Python/Node). A config file change triggers a service reload (systemctl reload lora-brain or inotify watch) — typically 1–3 seconds, no OS reboot. Sensors need no reboot either — they apply the new config from EEPROM on next wake cycle.</t>
  </si>
  <si>
    <t>Bootstrap / fallback channel</t>
  </si>
  <si>
    <t>Sensors listen on a hardcoded fallback config (SF9/BW125/g, defined at compile time) for 2 seconds after each heartbeat. The brain always keeps one listener on this fallback channel. If you accidentally push a config that breaks the link, this fallback always gives you a recovery path without physical access.</t>
  </si>
  <si>
    <t>EU g3 BW constraint</t>
  </si>
  <si>
    <t>g3 sub-band is 250 kHz wide (869.4–869.65 MHz). BW500 is physically impossible. BW250 fills the entire slice with no frequency margin. BW125 is the only valid choice on g3. For US 915, BW500 is permitted and halves ToA further — see US deployment notes.</t>
  </si>
  <si>
    <t>⚠  Scope Notice — This Tool Models Single-Sensor Configurations Only</t>
  </si>
  <si>
    <t>All airtime, duty cycle, re-arm, and battery calculations in this workbook assume a single sensor node transmitting independently. No allowance is made for concurrent transmissions, collision probability, or MAC-layer overhead. This is appropriate for initial link budget design and parameter selection. For deployments with multiple co-located sensors sharing a channel, see the multi-sensor notes below.</t>
  </si>
  <si>
    <t>Multi-Sensor Array Notes — CAD Backoff for Collision Avoidance  (Future Implementation)</t>
  </si>
  <si>
    <t>Based on: Hoang et al., 'A Slotted Transmission with Collision Avoidance for LoRa Networks,' Procedia Computer Science 177 (2020) 94–101  ·  See References tab Section F</t>
  </si>
  <si>
    <t>Why this matters for arrays</t>
  </si>
  <si>
    <t>Geophone sensors sharing a channel and a physical stimulus (seismic wave) will trigger near-simultaneously. Seismic wave speed through soil is roughly 100–500 m/s — across a 100 m array this means all sensors may trigger within 200 ms–1 s of each other. At SF7 with a 39 ms ToA, multiple concurrent transmissions are near-certain during an active detection sequence. Without collision avoidance, the brain module receives only the strongest signal (capture effect), silently discarding detections from other sensors — a systematic bias in which part of the array appears to have triggered.</t>
  </si>
  <si>
    <t>CAD backoff algorithm — Detection Events only</t>
  </si>
  <si>
    <t>Adapted from ST/CA (Hoang et al. 2020), Table 1. At SF7/BW125/CR4:5:
  Tsym = 1.024 ms  ·  CAD duration ≈ 1.97 ms (≈ 2 symbols)  ·  Delay slot = 1.97 ms
  Preamble duration = 12.54 ms  ·  MaxDelayCnt = 6  ·  Max random delay = 11.82 ms
Algorithm (firmware, detection events only):
  1. Threshold crossing detected
  2. Draw random integer N in [0, 5]
  3. Wait N × 1.97 ms
  4. Execute CAD — check if channel active (RFM95W native CAD mode)
  5. If channel busy: increment attempt counter; if attempts &lt; 4, wait one full slot then go to 2
  6. If channel idle: transmit
  7. After 4 failed attempts: log event locally as undelivered, resume listening
Constraint satisfied by design: max delay (11.82 ms) &lt; preamble (12.54 ms), so a deferred node correctly detects the winning node's preamble via CAD.</t>
  </si>
  <si>
    <t>Heartbeat / Status / Ping — no CAD backoff needed</t>
  </si>
  <si>
    <t>Scheduled transmissions (heartbeat, status, ping) are staggered by node ID at the application layer: Node 1 transmits at T+0, Node 2 at T+(interval/N), etc. These are deterministic and non-overlapping by design. CAD backoff adds latency and firmware complexity for zero benefit on scheduled traffic. Apply backoff only to event-driven detection transmissions.</t>
  </si>
  <si>
    <t>Channel frequency staggering — more effective than MAC</t>
  </si>
  <si>
    <t>Within EU g3 (250 kHz wide), two non-overlapping BW125 channels are available: channel A centred ~869.4–869.525 MHz, channel B centred ~869.525–869.65 MHz. Assign sensors to channels based on physical position — sensors most likely to co-trigger (geographically adjacent) should be on different channels. This doubles effective throughput with zero firmware complexity and is independent of CAD backoff. Combine both approaches for maximum collision resistance in dense arrays.</t>
  </si>
  <si>
    <t>Slotted frame (ST/CA full protocol) — not recommended</t>
  </si>
  <si>
    <t>The full ST/CA slotted frame requires a beacon downlink from the brain module to synchronise all sensor clocks. This adds significant complexity: beacon scheduling, sensor wake windows, beacon/uplink collision management. The paper found most PDR gain came from the CAD backoff mechanism, not the slot boundaries. For a small fixed-geometry array, the CAD backoff alone (step 2 above) provides the important benefit at a fraction of the implementation cost. Revisit full slotted framing only if CAD backoff alone proves insufficient at scale.</t>
  </si>
  <si>
    <t>What to log at the brain module</t>
  </si>
  <si>
    <t>From day one, log RSSI and SNR alongside every received packet (RFM95W provides both). Over time this reveals which sensors are being suppressed by capture effect — a consistently low-RSSI sensor that transmits rarely relative to others indicates a collision problem, not necessarily a link budget problem. This data drives the decision on whether to implement CAD backoff, adjust power levels, or reassign channel frequencies.</t>
  </si>
  <si>
    <t>📡  Jumbo Shoo Project — Reference Lookup Tables</t>
  </si>
  <si>
    <t>TX Power table → Calculator!C18  ·  Sub-band table → Calculator!F7  ·  Label column (E) → dropdown source on Presets TX Power fields</t>
  </si>
  <si>
    <t>A.  TX Power / Current Reference  (RFM95W — HopeRF, Table 5)</t>
  </si>
  <si>
    <t>TX Power (dBm)</t>
  </si>
  <si>
    <t>Current (mA)</t>
  </si>
  <si>
    <t>Dropdown Label</t>
  </si>
  <si>
    <t>RFO_HF path. Linear interpolation from Table 5 anchors (7 dBm/20 mA, 13 dBm/29 mA), slope 1.5 mA/dBm. No direct datasheet measurement at this level. Rarely used in practice.</t>
  </si>
  <si>
    <t>2 dBm | 13 mA  [est.]</t>
  </si>
  <si>
    <t>RFO_HF path. Linear interpolation from Table 5 anchors (7 dBm/20 mA, 13 dBm/29 mA), slope 1.5 mA/dBm. No direct datasheet measurement at this level.</t>
  </si>
  <si>
    <t>5 dBm | 17 mA  [est.]</t>
  </si>
  <si>
    <t>RFO_HF path. Linear interpolation from Table 5 anchors (7 dBm/20 mA, 13 dBm/29 mA), slope 1.5 mA/dBm. Direct measurement at 7 dBm adjacent — estimate reliable to ±2 mA.</t>
  </si>
  <si>
    <t>8 dBm | 22 mA  [est.]</t>
  </si>
  <si>
    <t>RFO_HF path. Linear interpolation from Table 5 anchors (7 dBm/20 mA, 13 dBm/29 mA), slope 1.5 mA/dBm. Direct measurement at 13 dBm adjacent — estimate reliable to ±2 mA.</t>
  </si>
  <si>
    <t>11 dBm | 26 mA  [est.]</t>
  </si>
  <si>
    <t>RFO_HF path. Linear extrapolation from Table 5 anchors (7 dBm/20 mA, 13 dBm/29 mA). PA_HF maximum per §5.4.2 (14 dBm) and Table 31 (15 dBm register ceiling). No Table 5 direct measurement at 14 dBm — estimated ±3 mA. EU EIRP regulatory limit (25 mW). Default EU operating point.</t>
  </si>
  <si>
    <t>14 dBm | 31 mA  [est.]</t>
  </si>
  <si>
    <t>PA_BOOST path. Direct from datasheet Table 5 (SF12, CR4/6, BW125 kHz, §2.4.5). Firmware must explicitly select PA_BOOST. Rated for continuous operation at this level.</t>
  </si>
  <si>
    <t>17 dBm | 87 mA</t>
  </si>
  <si>
    <t>PA_BOOST path. Direct from datasheet Table 5 (SF12, CR4/6, BW125 kHz, §2.4.5). Duty-cycle limited to 1% maximum by hardware (Table 33, DC_20dBm parameter). Not rated for continuous operation.</t>
  </si>
  <si>
    <t>20 dBm | 120 mA</t>
  </si>
  <si>
    <t>PA Path Architecture (RFM95W / SX1276, HF band 862–1020 MHz)
RFO_HF path (rows above, 2–14 dBm): standard output amplifier. §5.4.2 gives 14 dBm as the recommended max; Table 31 (RegPaConfig) lists 15 dBm as the register ceiling. Two Table 5 direct measurements: 7 dBm/20 mA and 13 dBm/29 mA. All other RFO_HF values are linear interpolations (slope 1.5 mA/dBm) — labelled [est.] in the dropdown. Accuracy ±2–3 mA within the 7–13 dBm range; lower confidence outside it.
PA_BOOST path (rows below, 17–20 dBm): high-power amplifier, selected explicitly by firmware. Two Table 5 direct measurements: 17 dBm/87 mA and 20 dBm/120 mA. The gap 15–16 dBm is a PA path transition zone — current draw is indeterminate and these levels are omitted from the dropdown. Do not interpolate across the 14→17 dBm boundary.</t>
  </si>
  <si>
    <t>B.  EU 868 MHz Sub-Band Reference  (ETSI EN 300 220)</t>
  </si>
  <si>
    <t>Sub-band</t>
  </si>
  <si>
    <t>Frequencies</t>
  </si>
  <si>
    <t>Duty Cycle</t>
  </si>
  <si>
    <t>Duty % (numeric)</t>
  </si>
  <si>
    <t>Notes / Recommendation</t>
  </si>
  <si>
    <t>868.0–868.6 MHz</t>
  </si>
  <si>
    <t>1%</t>
  </si>
  <si>
    <t>General purpose — default LoRaWAN uplink</t>
  </si>
  <si>
    <t>g1</t>
  </si>
  <si>
    <t>863.0–868.0 MHz</t>
  </si>
  <si>
    <t>Lower EU band</t>
  </si>
  <si>
    <t>g2</t>
  </si>
  <si>
    <t>868.7–869.2 MHz</t>
  </si>
  <si>
    <t>0.1%</t>
  </si>
  <si>
    <t>Very restricted — avoid for frequent sensor TX</t>
  </si>
  <si>
    <t>g3</t>
  </si>
  <si>
    <t>869.4–869.65 MHz</t>
  </si>
  <si>
    <t>10%</t>
  </si>
  <si>
    <t>Best choice for high-frequency tracking</t>
  </si>
  <si>
    <t>📡  Jumbo Shoo Project — Technical References &amp; Sources</t>
  </si>
  <si>
    <t>Standards, datasheets, and technical documents used to build this calculator.</t>
  </si>
  <si>
    <t>A.  Core Airtime Formula</t>
  </si>
  <si>
    <t>Document</t>
  </si>
  <si>
    <t>Reference / Version</t>
  </si>
  <si>
    <t>Relevance to this calculator</t>
  </si>
  <si>
    <t>Semtech AN1200.13 — LoRa Modem Designer's Guide</t>
  </si>
  <si>
    <t>Rev 1, July 2013</t>
  </si>
  <si>
    <t>Primary source for the Time on Air formula: preamble duration, payload symbol count, LDRO activation threshold (Tsym &gt; 16 ms), and coding rate overhead. All airtime cells in Section C derive from this document.</t>
  </si>
  <si>
    <t>SX1272/73 — 860 MHz to 1020 MHz Low Power Long Range Transceiver</t>
  </si>
  <si>
    <t>Semtech Datasheet Rev 4, March 2019</t>
  </si>
  <si>
    <t>Original transceiver spec confirming formula constants and LDRO requirement. TX current values for 2–17 dBm range sourced from Table 11.</t>
  </si>
  <si>
    <t>SX1261/2 — Sub-GHz Long Range Transceiver</t>
  </si>
  <si>
    <t>Semtech Datasheet Rev 2.1, 2020</t>
  </si>
  <si>
    <t>Referenced for high-power PA data (22–23 dBm). Note: these power levels are NOT achievable on the RFM95W (max +20 dBm). This entry is retained for reference only. For actual hardware current draw, see Section E (RFM95W datasheet).</t>
  </si>
  <si>
    <t>B.  EU Regulatory Standards</t>
  </si>
  <si>
    <t>ETSI EN 300 220-1 — Short Range Devices (SRD)</t>
  </si>
  <si>
    <t>V3.1.1 (2017-02)</t>
  </si>
  <si>
    <t>Defines the EU 868 MHz SRD band plan, sub-band allocations (g, g1, g2, g3), and the per-sub-band duty cycle limits used in the Lookup tab band table.</t>
  </si>
  <si>
    <t>ETSI EN 300 220-2 — SRD Technical Characteristics</t>
  </si>
  <si>
    <t>V3.2.1 (2018-06)</t>
  </si>
  <si>
    <t>Specifies maximum EIRP: 25 mW (14 dBm) for most sub-bands. Informs the EU TX power default and the EU max warning on the Presets tab.</t>
  </si>
  <si>
    <t>LoRa Alliance — LoRaWAN Regional Parameters</t>
  </si>
  <si>
    <t>RP002-1.0.4 (2021)</t>
  </si>
  <si>
    <t>Defines EU868 channel plan, default channels, and recommended TX power levels. Confirms g sub-band as the primary LoRaWAN uplink band.</t>
  </si>
  <si>
    <t>C.  US Regulatory Standards</t>
  </si>
  <si>
    <t>FCC §15.247 — Operation within the bands 902–928 MHz</t>
  </si>
  <si>
    <t>47 CFR Part 15, current</t>
  </si>
  <si>
    <t>Governs US 915 MHz FHSS operation. Requires ≥50 channels, maximum 400 ms dwell time per channel per transmission. No fixed duty cycle. The 400 ms dwell time check in Section E derives from this rule.</t>
  </si>
  <si>
    <t>FCC §15.209 — Radiated emission limits</t>
  </si>
  <si>
    <t>Sets conducted and radiated power limits. Max 30 dBm EIRP for §15.247 FHSS in the 902–928 MHz band. In practice SX1262 hardware limits to 23 dBm.</t>
  </si>
  <si>
    <t>LoRa Alliance — LoRaWAN Regional Parameters (US915)</t>
  </si>
  <si>
    <t>Defines US915 channel plan: 64 uplink channels at 125 kHz BW and 8 at 500 kHz BW. SF7–SF10 at 125 kHz, SF8 at 500 kHz for uplinks. Used to validate preset configurations.</t>
  </si>
  <si>
    <t>D.  Notes &amp; Assumptions</t>
  </si>
  <si>
    <t>Note 1</t>
  </si>
  <si>
    <t>TX current values are typical figures from Semtech datasheets and will vary with supply voltage, temperature, and PCB design. Measure on your actual hardware for a precise battery model.</t>
  </si>
  <si>
    <t>Note 2</t>
  </si>
  <si>
    <t>Battery life estimate is TX-only. A realistic system model must add: idle/sleep current (typically 1–10 µA for the LoRa module), MCU/RPi current, and any active sensor peripheral draw. Measure on your actual hardware configuration for accuracy.</t>
  </si>
  <si>
    <t>Note 3</t>
  </si>
  <si>
    <t>The LDRO Tsym &gt; 16 ms threshold is from AN1200.13 §4. The original heuristic of 'SF11/12 at 125 kHz' is a common approximation that misses SF12 at 500 kHz (Tsym ≈ 8 ms) — this calculator uses the exact threshold.</t>
  </si>
  <si>
    <t>Note 4</t>
  </si>
  <si>
    <t>Duty cycle is calculated over a rolling 1-hour window as required by ETSI EN 300 220. The formula is: duty% = (ToA_ms / 3,600,000) × 100 × (transmissions per hour).</t>
  </si>
  <si>
    <t>Note 5</t>
  </si>
  <si>
    <t>This calculator models raw LoRa airtime. The Jumbo Shoo system operates point-to-point (sensor node → brain module) without a LoRaWAN network stack, so LoRaWAN MAC overhead (13 B OTAA / 8 B ABP) does not apply. If a LoRaWAN gateway is added later, add MAC overhead to the Payload Size input.</t>
  </si>
  <si>
    <t>E.  Hardware Reference — Actual Transceiver Module</t>
  </si>
  <si>
    <t>RFM95W/96W/98W — Low Power Long Range Transceiver Module</t>
  </si>
  <si>
    <t>HopeRF Datasheet v2.0 (hoperf.com)</t>
  </si>
  <si>
    <t>Actual transceiver module used in Jumbo Shoo sensor nodes. Based on Semtech SX1276 silicon. TX current values in Lookup tab Section A are derived as follows: (1) Direct Table 5 measurements at four points — 7 dBm/20 mA and 13 dBm/29 mA (RFO_HF path) and 17 dBm/87 mA and 20 dBm/120 mA (PA_BOOST path) — test conditions §2.4.5: SF12, CR4/6, BW125 kHz. (2) RFO_HF intermediate values (2, 5, 8, 11, 14 dBm) are linearly interpolated/extrapolated from the 7 and 13 dBm anchors at slope 1.5 mA/dBm; marked [est.] in dropdown labels. PA_HF maximum: 14 dBm per §5.4.2 text (15 dBm per Table 31 register ceiling). (3) The 15–16 dBm range spans a PA path switch (RFO_HF → PA_BOOST) and is omitted — current draw is indeterminate in this zone. Max TX power 20 dBm (PA_BOOST), duty-cycle limited to 1% per Table 33 (DC_20dBm). Continuous operation rated to 17 dBm. Preset defaults based on §2.4.5 test conditions (SF12, CR4/6, BW125, preamble 8, CRC on).</t>
  </si>
  <si>
    <t>F.  Academic References — Multi-Sensor MAC &amp; Collision Avoidance</t>
  </si>
  <si>
    <t>Relevance to this project</t>
  </si>
  <si>
    <t>A Slotted Transmission with Collision Avoidance for LoRa Networks</t>
  </si>
  <si>
    <t>Hoang, Q.L., Tran, H.P., Jung, W.S., Hoang, S.H., Oh, H.
Procedia Computer Science 177 (2020) 94–101
EUSPN 2020, Madeira, Portugal
DOI: 10.1016/j.procs.2020.10.016
Open access CC BY-NC-ND 4.0</t>
  </si>
  <si>
    <t>Introduces the ST/CA protocol: slotted transmission + LBT with Channel Activity Detection (CAD) backoff for collision avoidance in LoRa networks. Directly relevant to Jumbo Shoo multi-sensor array deployments where simultaneous seismic detection events cause co-located sensors to transmit concurrently. Table 1 (p.99) provides CAD timing values for SF7–12 at BW125/CR4:5 used in the CAD backoff algorithm documented in the Profiles tab. Key finding: at SF7 with MaxDelayCnt=6, max random delay (11.82 ms) fits within the preamble window (12.54 ms), ensuring a deferred node correctly detects a winning node's transmission via CAD. Note: current Jumbo Shoo tool models single-sensor configurations only. Multi-sensor MAC is a future consideration — see Profiles tab for implementation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</si>
</sst>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0"/>
    <numFmt numFmtId="166" formatCode="0.0000"/>
    <numFmt numFmtId="167" formatCode="0.0"/>
    <numFmt numFmtId="168" formatCode="0.000000%"/>
    <numFmt numFmtId="169" formatCode="0.000%"/>
  </numFmts>
  <fonts count="36" x14ac:knownFonts="1">
    <font>
      <sz val="11"/>
      <color theme="1"/>
      <name val="Calibri"/>
      <family val="2"/>
      <charset val="1"/>
    </font>
    <font>
      <b/>
      <sz val="16"/>
      <color rgb="FFFFFFFF"/>
      <name val="Calibri"/>
      <charset val="1"/>
    </font>
    <font>
      <i/>
      <sz val="10"/>
      <color rgb="FF6A8A6A"/>
      <name val="Calibri"/>
      <charset val="1"/>
    </font>
    <font>
      <sz val="10"/>
      <color rgb="FF1A1A1A"/>
      <name val="Calibri"/>
      <charset val="1"/>
    </font>
    <font>
      <sz val="10"/>
      <name val="Calibri"/>
      <charset val="1"/>
    </font>
    <font>
      <b/>
      <sz val="10"/>
      <color rgb="FFFFFFFF"/>
      <name val="Calibri"/>
      <charset val="1"/>
    </font>
    <font>
      <b/>
      <sz val="9"/>
      <color rgb="FFFFFFFF"/>
      <name val="Calibri"/>
      <charset val="1"/>
    </font>
    <font>
      <b/>
      <sz val="10"/>
      <color rgb="FF2E4A36"/>
      <name val="Calibri"/>
      <charset val="1"/>
    </font>
    <font>
      <b/>
      <sz val="10"/>
      <color rgb="FF1B5E20"/>
      <name val="Calibri"/>
      <charset val="1"/>
    </font>
    <font>
      <b/>
      <sz val="10"/>
      <color rgb="FF0D47A1"/>
      <name val="Calibri"/>
      <charset val="1"/>
    </font>
    <font>
      <b/>
      <sz val="10"/>
      <color rgb="FFE65100"/>
      <name val="Calibri"/>
      <charset val="1"/>
    </font>
    <font>
      <b/>
      <sz val="10"/>
      <color rgb="FF1A1A1A"/>
      <name val="Calibri"/>
      <charset val="1"/>
    </font>
    <font>
      <b/>
      <sz val="10"/>
      <color rgb="FF909090"/>
      <name val="Calibri"/>
      <charset val="1"/>
    </font>
    <font>
      <b/>
      <sz val="10"/>
      <color rgb="FF1A3A6A"/>
      <name val="Calibri"/>
      <charset val="1"/>
    </font>
    <font>
      <b/>
      <sz val="14"/>
      <color rgb="FFFFFFFF"/>
      <name val="Calibri"/>
      <charset val="1"/>
    </font>
    <font>
      <i/>
      <sz val="9"/>
      <color rgb="FF6A8A6A"/>
      <name val="Calibri"/>
      <charset val="1"/>
    </font>
    <font>
      <b/>
      <sz val="12"/>
      <color rgb="FFE65100"/>
      <name val="Calibri"/>
      <charset val="1"/>
    </font>
    <font>
      <sz val="10"/>
      <color rgb="FF2E4A36"/>
      <name val="Calibri"/>
      <charset val="1"/>
    </font>
    <font>
      <b/>
      <sz val="11"/>
      <color rgb="FFE65100"/>
      <name val="Calibri"/>
      <charset val="1"/>
    </font>
    <font>
      <b/>
      <sz val="11"/>
      <color rgb="FF0D47A1"/>
      <name val="Calibri"/>
      <charset val="1"/>
    </font>
    <font>
      <b/>
      <sz val="11"/>
      <color rgb="FF1A1A1A"/>
      <name val="Calibri"/>
      <charset val="1"/>
    </font>
    <font>
      <b/>
      <sz val="10"/>
      <color rgb="FF2E7D32"/>
      <name val="Calibri"/>
      <charset val="1"/>
    </font>
    <font>
      <b/>
      <sz val="18"/>
      <color rgb="FFA5D6A7"/>
      <name val="Calibri"/>
      <charset val="1"/>
    </font>
    <font>
      <b/>
      <sz val="10"/>
      <name val="Calibri"/>
      <charset val="1"/>
    </font>
    <font>
      <sz val="10"/>
      <color rgb="FF6A8A6A"/>
      <name val="Calibri"/>
      <charset val="1"/>
    </font>
    <font>
      <i/>
      <sz val="9"/>
      <color rgb="FFE65100"/>
      <name val="Calibri"/>
      <charset val="1"/>
    </font>
    <font>
      <b/>
      <sz val="15"/>
      <color rgb="FFFFFFFF"/>
      <name val="Calibri"/>
      <charset val="1"/>
    </font>
    <font>
      <sz val="9"/>
      <color rgb="FF6A8A6A"/>
      <name val="Calibri"/>
      <charset val="1"/>
    </font>
    <font>
      <b/>
      <sz val="11"/>
      <color rgb="FFFFFFFF"/>
      <name val="Calibri"/>
      <charset val="1"/>
    </font>
    <font>
      <b/>
      <sz val="10"/>
      <color rgb="FFB71C1C"/>
      <name val="Calibri"/>
      <charset val="1"/>
    </font>
    <font>
      <i/>
      <sz val="10"/>
      <color rgb="FF0D47A1"/>
      <name val="Calibri"/>
      <charset val="1"/>
    </font>
    <font>
      <i/>
      <sz val="9"/>
      <color rgb="FF1A1A1A"/>
      <name val="Calibri"/>
      <charset val="1"/>
    </font>
    <font>
      <sz val="9"/>
      <color rgb="FF555555"/>
      <name val="Calibri"/>
      <charset val="1"/>
    </font>
    <font>
      <sz val="9"/>
      <color rgb="FF1A1A1A"/>
      <name val="Calibri"/>
      <charset val="1"/>
    </font>
    <font>
      <i/>
      <sz val="9"/>
      <color rgb="FF1A3A6A"/>
      <name val="Calibri"/>
      <charset val="1"/>
    </font>
    <font>
      <b/>
      <i/>
      <sz val="9"/>
      <color rgb="FFB71C1C"/>
      <name val="Calibri"/>
      <charset val="1"/>
    </font>
  </fonts>
  <fills count="26">
    <fill>
      <patternFill patternType="none"/>
    </fill>
    <fill>
      <patternFill patternType="gray125"/>
    </fill>
    <fill>
      <patternFill patternType="solid">
        <fgColor rgb="FF0D2B1A"/>
        <bgColor rgb="FF1A1A1A"/>
      </patternFill>
    </fill>
    <fill>
      <patternFill patternType="solid">
        <fgColor rgb="FFF5F7F5"/>
        <bgColor rgb="FFF0F4F0"/>
      </patternFill>
    </fill>
    <fill>
      <patternFill patternType="solid">
        <fgColor rgb="FF1C3A2A"/>
        <bgColor rgb="FF0D2B1A"/>
      </patternFill>
    </fill>
    <fill>
      <patternFill patternType="solid">
        <fgColor rgb="FFEBF0EB"/>
        <bgColor rgb="FFE8F0E8"/>
      </patternFill>
    </fill>
    <fill>
      <patternFill patternType="solid">
        <fgColor rgb="FFE8F0E8"/>
        <bgColor rgb="FFEBF0EB"/>
      </patternFill>
    </fill>
    <fill>
      <patternFill patternType="solid">
        <fgColor rgb="FFE8F5E9"/>
        <bgColor rgb="FFE8F0E8"/>
      </patternFill>
    </fill>
    <fill>
      <patternFill patternType="solid">
        <fgColor rgb="FFFFFFFF"/>
        <bgColor rgb="FFFFF5F5"/>
      </patternFill>
    </fill>
    <fill>
      <patternFill patternType="solid">
        <fgColor rgb="FFFFF8E1"/>
        <bgColor rgb="FFFFF3E0"/>
      </patternFill>
    </fill>
    <fill>
      <patternFill patternType="solid">
        <fgColor rgb="FFF0F4F0"/>
        <bgColor rgb="FFF5F7F5"/>
      </patternFill>
    </fill>
    <fill>
      <patternFill patternType="solid">
        <fgColor rgb="FF1B5E20"/>
        <bgColor rgb="FF2E5440"/>
      </patternFill>
    </fill>
    <fill>
      <patternFill patternType="solid">
        <fgColor rgb="FFB71C1C"/>
        <bgColor rgb="FF993366"/>
      </patternFill>
    </fill>
    <fill>
      <patternFill patternType="solid">
        <fgColor rgb="FFD0D0D0"/>
        <bgColor rgb="FFCCCCCC"/>
      </patternFill>
    </fill>
    <fill>
      <patternFill patternType="solid">
        <fgColor rgb="FFE3F2FD"/>
        <bgColor rgb="FFE0F2F1"/>
      </patternFill>
    </fill>
    <fill>
      <patternFill patternType="solid">
        <fgColor rgb="FFC8E6C9"/>
        <bgColor rgb="FFDDDDDD"/>
      </patternFill>
    </fill>
    <fill>
      <patternFill patternType="solid">
        <fgColor rgb="FF1565C0"/>
        <bgColor rgb="FF0D47A1"/>
      </patternFill>
    </fill>
    <fill>
      <patternFill patternType="solid">
        <fgColor rgb="FFEBF3FE"/>
        <bgColor rgb="FFE3F2FD"/>
      </patternFill>
    </fill>
    <fill>
      <patternFill patternType="solid">
        <fgColor rgb="FFFDECEA"/>
        <bgColor rgb="FFFFEBEE"/>
      </patternFill>
    </fill>
    <fill>
      <patternFill patternType="solid">
        <fgColor rgb="FFFFF5F5"/>
        <bgColor rgb="FFF5F7F5"/>
      </patternFill>
    </fill>
    <fill>
      <patternFill patternType="solid">
        <fgColor rgb="FF4A148C"/>
        <bgColor rgb="FF6A1B9A"/>
      </patternFill>
    </fill>
    <fill>
      <patternFill patternType="solid">
        <fgColor rgb="FFEDE7F6"/>
        <bgColor rgb="FFF3E5F5"/>
      </patternFill>
    </fill>
    <fill>
      <patternFill patternType="solid">
        <fgColor rgb="FFF3E5F5"/>
        <bgColor rgb="FFEDE7F6"/>
      </patternFill>
    </fill>
    <fill>
      <patternFill patternType="solid">
        <fgColor rgb="FFFFF3E0"/>
        <bgColor rgb="FFFFF8E1"/>
      </patternFill>
    </fill>
    <fill>
      <patternFill patternType="solid">
        <fgColor rgb="FF2E5440"/>
        <bgColor rgb="FF2E4A36"/>
      </patternFill>
    </fill>
    <fill>
      <patternFill patternType="solid">
        <fgColor rgb="FFE0F2F1"/>
        <bgColor rgb="FFE3F2FD"/>
      </patternFill>
    </fill>
  </fills>
  <borders count="20">
    <border>
      <left/>
      <right/>
      <top/>
      <bottom/>
      <diagonal/>
    </border>
    <border>
      <left style="thin">
        <color rgb="FF1C3A2A"/>
      </left>
      <right/>
      <top style="thin">
        <color rgb="FF1C3A2A"/>
      </top>
      <bottom style="thin">
        <color rgb="FF1C3A2A"/>
      </bottom>
      <diagonal/>
    </border>
    <border>
      <left style="thin">
        <color rgb="FF1C3A2A"/>
      </left>
      <right style="thin">
        <color rgb="FF1C3A2A"/>
      </right>
      <top style="thin">
        <color rgb="FF1C3A2A"/>
      </top>
      <bottom style="thin">
        <color rgb="FF1C3A2A"/>
      </bottom>
      <diagonal/>
    </border>
    <border>
      <left style="thin">
        <color rgb="FFCCCCCC"/>
      </left>
      <right style="thin">
        <color rgb="FFCCCCCC"/>
      </right>
      <top style="thin">
        <color rgb="FFCCCCCC"/>
      </top>
      <bottom style="thin">
        <color rgb="FFCCCCCC"/>
      </bottom>
      <diagonal/>
    </border>
    <border>
      <left style="medium">
        <color rgb="FFE65100"/>
      </left>
      <right style="medium">
        <color rgb="FFE65100"/>
      </right>
      <top style="medium">
        <color rgb="FFE65100"/>
      </top>
      <bottom style="medium">
        <color rgb="FFE65100"/>
      </bottom>
      <diagonal/>
    </border>
    <border>
      <left style="thin">
        <color rgb="FFF5C842"/>
      </left>
      <right/>
      <top style="thin">
        <color rgb="FFF5C842"/>
      </top>
      <bottom style="thin">
        <color rgb="FFF5C842"/>
      </bottom>
      <diagonal/>
    </border>
    <border>
      <left style="medium">
        <color rgb="FFE65100"/>
      </left>
      <right style="medium">
        <color rgb="FFE65100"/>
      </right>
      <top style="thin">
        <color rgb="FFF5C842"/>
      </top>
      <bottom style="thin">
        <color rgb="FFF5C842"/>
      </bottom>
      <diagonal/>
    </border>
    <border>
      <left style="medium">
        <color rgb="FF1C3A2A"/>
      </left>
      <right style="medium">
        <color rgb="FF1C3A2A"/>
      </right>
      <top style="thin">
        <color rgb="FFAAAAAA"/>
      </top>
      <bottom style="thin">
        <color rgb="FFAAAAAA"/>
      </bottom>
      <diagonal/>
    </border>
    <border>
      <left style="thin">
        <color rgb="FFCCCCCC"/>
      </left>
      <right/>
      <top style="thin">
        <color rgb="FFCCCCCC"/>
      </top>
      <bottom style="thin">
        <color rgb="FFCCCCCC"/>
      </bottom>
      <diagonal/>
    </border>
    <border>
      <left style="thin">
        <color rgb="FFDDDDDD"/>
      </left>
      <right/>
      <top style="thin">
        <color rgb="FFDDDDDD"/>
      </top>
      <bottom style="thin">
        <color rgb="FFDDDDDD"/>
      </bottom>
      <diagonal/>
    </border>
    <border>
      <left style="thin">
        <color rgb="FF1B5E20"/>
      </left>
      <right style="thin">
        <color rgb="FF1B5E20"/>
      </right>
      <top style="thin">
        <color rgb="FF1B5E20"/>
      </top>
      <bottom style="thin">
        <color rgb="FF1B5E20"/>
      </bottom>
      <diagonal/>
    </border>
    <border>
      <left style="thin">
        <color rgb="FF0D2B1A"/>
      </left>
      <right/>
      <top style="thin">
        <color rgb="FF0D2B1A"/>
      </top>
      <bottom style="thin">
        <color rgb="FF0D2B1A"/>
      </bottom>
      <diagonal/>
    </border>
    <border>
      <left style="thin">
        <color rgb="FFF5F7F5"/>
      </left>
      <right/>
      <top style="thin">
        <color rgb="FFF5F7F5"/>
      </top>
      <bottom style="thin">
        <color rgb="FFF5F7F5"/>
      </bottom>
      <diagonal/>
    </border>
    <border>
      <left style="thin">
        <color rgb="FFEBF0EB"/>
      </left>
      <right/>
      <top style="thin">
        <color rgb="FFEBF0EB"/>
      </top>
      <bottom style="thin">
        <color rgb="FFEBF0EB"/>
      </bottom>
      <diagonal/>
    </border>
    <border>
      <left style="thin">
        <color rgb="FFFFFFFF"/>
      </left>
      <right/>
      <top style="thin">
        <color rgb="FFFFFFFF"/>
      </top>
      <bottom style="thin">
        <color rgb="FFFFFFFF"/>
      </bottom>
      <diagonal/>
    </border>
    <border>
      <left style="thin">
        <color rgb="FF1565C0"/>
      </left>
      <right/>
      <top style="thin">
        <color rgb="FF1565C0"/>
      </top>
      <bottom style="thin">
        <color rgb="FF1565C0"/>
      </bottom>
      <diagonal/>
    </border>
    <border>
      <left style="thin">
        <color rgb="FFB71C1C"/>
      </left>
      <right/>
      <top style="thin">
        <color rgb="FFB71C1C"/>
      </top>
      <bottom style="thin">
        <color rgb="FFB71C1C"/>
      </bottom>
      <diagonal/>
    </border>
    <border>
      <left style="thin">
        <color rgb="FF4A148C"/>
      </left>
      <right/>
      <top style="thin">
        <color rgb="FF4A148C"/>
      </top>
      <bottom style="thin">
        <color rgb="FF4A148C"/>
      </bottom>
      <diagonal/>
    </border>
    <border>
      <left style="thin">
        <color rgb="FF2E5440"/>
      </left>
      <right/>
      <top style="thin">
        <color rgb="FF2E5440"/>
      </top>
      <bottom style="thin">
        <color rgb="FF2E5440"/>
      </bottom>
      <diagonal/>
    </border>
    <border>
      <left style="thin">
        <color rgb="FF4A8ACA"/>
      </left>
      <right/>
      <top style="thin">
        <color rgb="FF4A8ACA"/>
      </top>
      <bottom style="thin">
        <color rgb="FF4A8ACA"/>
      </bottom>
      <diagonal/>
    </border>
  </borders>
  <cellStyleXfs count="1">
    <xf numFmtId="0" fontId="0" fillId="0" borderId="0"/>
  </cellStyleXfs>
  <cellXfs count="162">
    <xf numFmtId="0" fontId="0" fillId="0" borderId="0" xfId="0"/>
    <xf numFmtId="0" fontId="3" fillId="10" borderId="3" xfId="0" applyFont="1" applyFill="1" applyBorder="1" applyAlignment="1">
      <alignment horizontal="left" vertical="center"/>
    </xf>
    <xf numFmtId="0" fontId="15" fillId="3" borderId="0" xfId="0" applyFont="1" applyFill="1" applyAlignment="1">
      <alignment horizontal="left" vertical="center" wrapText="1"/>
    </xf>
    <xf numFmtId="0" fontId="15" fillId="3" borderId="9" xfId="0" applyFont="1" applyFill="1" applyBorder="1" applyAlignment="1">
      <alignment horizontal="left" vertical="center" wrapText="1"/>
    </xf>
    <xf numFmtId="0" fontId="5" fillId="10" borderId="8" xfId="0" applyFont="1" applyFill="1" applyBorder="1" applyAlignment="1">
      <alignment horizontal="center" vertical="center" wrapText="1"/>
    </xf>
    <xf numFmtId="164" fontId="22" fillId="2" borderId="1" xfId="0" applyNumberFormat="1" applyFont="1" applyFill="1" applyBorder="1" applyAlignment="1">
      <alignment horizontal="center" vertical="center" wrapText="1"/>
    </xf>
    <xf numFmtId="0" fontId="5" fillId="4" borderId="1" xfId="0" applyFont="1" applyFill="1" applyBorder="1" applyAlignment="1">
      <alignment horizontal="left" vertical="center" wrapText="1"/>
    </xf>
    <xf numFmtId="0" fontId="15" fillId="9" borderId="5" xfId="0" applyFont="1" applyFill="1" applyBorder="1" applyAlignment="1">
      <alignment horizontal="left" vertical="center"/>
    </xf>
    <xf numFmtId="0" fontId="15" fillId="3" borderId="0" xfId="0" applyFont="1" applyFill="1" applyAlignment="1">
      <alignment horizontal="center" vertical="center"/>
    </xf>
    <xf numFmtId="0" fontId="14" fillId="2" borderId="0" xfId="0" applyFont="1" applyFill="1" applyAlignment="1">
      <alignment horizontal="center" vertical="center"/>
    </xf>
    <xf numFmtId="0" fontId="0" fillId="3" borderId="0" xfId="0" applyFill="1"/>
    <xf numFmtId="0" fontId="5" fillId="4" borderId="1" xfId="0" applyFont="1" applyFill="1" applyBorder="1" applyAlignment="1">
      <alignment horizontal="left" vertical="center"/>
    </xf>
    <xf numFmtId="0" fontId="3" fillId="3" borderId="0" xfId="0" applyFont="1" applyFill="1" applyAlignment="1">
      <alignment horizontal="left" vertical="top" wrapTex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0" fillId="3" borderId="0" xfId="0" applyFill="1"/>
    <xf numFmtId="0" fontId="4" fillId="3" borderId="0" xfId="0" applyFont="1" applyFill="1" applyAlignment="1">
      <alignment horizontal="left" vertical="top" wrapText="1"/>
    </xf>
    <xf numFmtId="0" fontId="4" fillId="3" borderId="0" xfId="0" applyFont="1" applyFill="1"/>
    <xf numFmtId="0" fontId="6" fillId="4" borderId="2" xfId="0" applyFont="1" applyFill="1" applyBorder="1" applyAlignment="1">
      <alignment horizontal="center" vertical="center"/>
    </xf>
    <xf numFmtId="0" fontId="4" fillId="3" borderId="0" xfId="0" applyFont="1" applyFill="1" applyAlignment="1">
      <alignment horizontal="center" vertical="center"/>
    </xf>
    <xf numFmtId="0" fontId="7" fillId="5" borderId="3" xfId="0" applyFont="1" applyFill="1" applyBorder="1" applyAlignment="1">
      <alignment horizontal="left" vertical="top" wrapText="1"/>
    </xf>
    <xf numFmtId="0" fontId="3" fillId="5" borderId="3" xfId="0" applyFont="1" applyFill="1" applyBorder="1" applyAlignment="1">
      <alignment horizontal="left" vertical="top" wrapText="1"/>
    </xf>
    <xf numFmtId="0" fontId="7" fillId="6" borderId="3" xfId="0" applyFont="1" applyFill="1" applyBorder="1" applyAlignment="1">
      <alignment horizontal="left" vertical="top" wrapText="1"/>
    </xf>
    <xf numFmtId="0" fontId="3" fillId="6" borderId="3" xfId="0" applyFont="1" applyFill="1" applyBorder="1" applyAlignment="1">
      <alignment horizontal="left" vertical="top" wrapText="1"/>
    </xf>
    <xf numFmtId="0" fontId="5" fillId="4" borderId="0" xfId="0" applyFont="1" applyFill="1" applyAlignment="1">
      <alignment horizontal="left" vertical="center"/>
    </xf>
    <xf numFmtId="0" fontId="8" fillId="7" borderId="3" xfId="0" applyFont="1" applyFill="1" applyBorder="1" applyAlignment="1">
      <alignment horizontal="left" vertical="top" wrapText="1"/>
    </xf>
    <xf numFmtId="0" fontId="3" fillId="7" borderId="3" xfId="0" applyFont="1" applyFill="1" applyBorder="1" applyAlignment="1">
      <alignment horizontal="left" vertical="top" wrapText="1"/>
    </xf>
    <xf numFmtId="0" fontId="8" fillId="8" borderId="3" xfId="0" applyFont="1" applyFill="1" applyBorder="1" applyAlignment="1">
      <alignment horizontal="left" vertical="top" wrapText="1"/>
    </xf>
    <xf numFmtId="0" fontId="3" fillId="8" borderId="3" xfId="0" applyFont="1" applyFill="1" applyBorder="1" applyAlignment="1">
      <alignment horizontal="left" vertical="top" wrapText="1"/>
    </xf>
    <xf numFmtId="0" fontId="6" fillId="4" borderId="3" xfId="0" applyFont="1" applyFill="1" applyBorder="1" applyAlignment="1">
      <alignment horizontal="center" vertical="center"/>
    </xf>
    <xf numFmtId="0" fontId="9" fillId="8" borderId="3" xfId="0" applyFont="1" applyFill="1" applyBorder="1" applyAlignment="1">
      <alignment horizontal="left" vertical="center"/>
    </xf>
    <xf numFmtId="0" fontId="3" fillId="5" borderId="3" xfId="0" applyFont="1" applyFill="1" applyBorder="1" applyAlignment="1">
      <alignment horizontal="left" vertical="center" wrapText="1"/>
    </xf>
    <xf numFmtId="0" fontId="10" fillId="9" borderId="3" xfId="0" applyFont="1" applyFill="1" applyBorder="1" applyAlignment="1">
      <alignment horizontal="left" vertical="center"/>
    </xf>
    <xf numFmtId="0" fontId="3" fillId="8" borderId="3" xfId="0" applyFont="1" applyFill="1" applyBorder="1" applyAlignment="1">
      <alignment horizontal="left" vertical="center" wrapText="1"/>
    </xf>
    <xf numFmtId="0" fontId="11" fillId="10" borderId="3" xfId="0" applyFont="1" applyFill="1" applyBorder="1" applyAlignment="1">
      <alignment horizontal="left" vertical="center"/>
    </xf>
    <xf numFmtId="0" fontId="5" fillId="4" borderId="3" xfId="0" applyFont="1" applyFill="1" applyBorder="1" applyAlignment="1">
      <alignment horizontal="left" vertical="center"/>
    </xf>
    <xf numFmtId="0" fontId="5" fillId="11" borderId="3" xfId="0" applyFont="1" applyFill="1" applyBorder="1" applyAlignment="1">
      <alignment horizontal="left" vertical="center"/>
    </xf>
    <xf numFmtId="0" fontId="5" fillId="12" borderId="3" xfId="0" applyFont="1" applyFill="1" applyBorder="1" applyAlignment="1">
      <alignment horizontal="left" vertical="center"/>
    </xf>
    <xf numFmtId="0" fontId="12" fillId="13" borderId="3" xfId="0" applyFont="1" applyFill="1" applyBorder="1" applyAlignment="1">
      <alignment horizontal="left" vertical="center"/>
    </xf>
    <xf numFmtId="0" fontId="9" fillId="14" borderId="3" xfId="0" applyFont="1" applyFill="1" applyBorder="1" applyAlignment="1">
      <alignment horizontal="left" vertical="top" wrapText="1"/>
    </xf>
    <xf numFmtId="0" fontId="3" fillId="14" borderId="3" xfId="0" applyFont="1" applyFill="1" applyBorder="1" applyAlignment="1">
      <alignment horizontal="left" vertical="top" wrapText="1"/>
    </xf>
    <xf numFmtId="0" fontId="10" fillId="9" borderId="3" xfId="0" applyFont="1" applyFill="1" applyBorder="1" applyAlignment="1">
      <alignment horizontal="left" vertical="top" wrapText="1"/>
    </xf>
    <xf numFmtId="0" fontId="3" fillId="9" borderId="3" xfId="0" applyFont="1" applyFill="1" applyBorder="1" applyAlignment="1">
      <alignment horizontal="left" vertical="top" wrapText="1"/>
    </xf>
    <xf numFmtId="0" fontId="7" fillId="14" borderId="3" xfId="0" applyFont="1" applyFill="1" applyBorder="1" applyAlignment="1">
      <alignment horizontal="left" vertical="top" wrapText="1"/>
    </xf>
    <xf numFmtId="0" fontId="7" fillId="7" borderId="3" xfId="0" applyFont="1" applyFill="1" applyBorder="1" applyAlignment="1">
      <alignment horizontal="left" vertical="top" wrapText="1"/>
    </xf>
    <xf numFmtId="0" fontId="13" fillId="14" borderId="3" xfId="0" applyFont="1" applyFill="1" applyBorder="1" applyAlignment="1">
      <alignment horizontal="left" vertical="top" wrapText="1"/>
    </xf>
    <xf numFmtId="0" fontId="5" fillId="4" borderId="2" xfId="0" applyFont="1" applyFill="1" applyBorder="1" applyAlignment="1">
      <alignment horizontal="left" vertical="center"/>
    </xf>
    <xf numFmtId="0" fontId="16" fillId="9" borderId="4" xfId="0" applyFont="1" applyFill="1" applyBorder="1" applyAlignment="1">
      <alignment horizontal="center" vertical="center"/>
    </xf>
    <xf numFmtId="0" fontId="17" fillId="5" borderId="3" xfId="0" applyFont="1" applyFill="1" applyBorder="1" applyAlignment="1">
      <alignment horizontal="left" vertical="center" wrapText="1"/>
    </xf>
    <xf numFmtId="0" fontId="18" fillId="9" borderId="6" xfId="0" applyFont="1" applyFill="1" applyBorder="1" applyAlignment="1">
      <alignment horizontal="center" vertical="center"/>
    </xf>
    <xf numFmtId="0" fontId="19" fillId="8" borderId="7" xfId="0" applyFont="1" applyFill="1" applyBorder="1" applyAlignment="1">
      <alignment horizontal="center" vertical="center" wrapText="1"/>
    </xf>
    <xf numFmtId="0" fontId="17" fillId="5" borderId="3" xfId="0" applyFont="1" applyFill="1" applyBorder="1" applyAlignment="1">
      <alignment horizontal="left" vertical="center"/>
    </xf>
    <xf numFmtId="0" fontId="19" fillId="8" borderId="7" xfId="0" applyFont="1" applyFill="1" applyBorder="1" applyAlignment="1">
      <alignment horizontal="center" vertical="center"/>
    </xf>
    <xf numFmtId="0" fontId="20" fillId="10"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4" fillId="3" borderId="0" xfId="0" applyFont="1" applyFill="1" applyAlignment="1">
      <alignment horizontal="left" vertical="center" wrapText="1"/>
    </xf>
    <xf numFmtId="0" fontId="11" fillId="10" borderId="3" xfId="0" applyFont="1" applyFill="1" applyBorder="1" applyAlignment="1">
      <alignment horizontal="center" vertical="center" wrapText="1"/>
    </xf>
    <xf numFmtId="0" fontId="4" fillId="3" borderId="0" xfId="0" applyFont="1" applyFill="1" applyAlignment="1">
      <alignment horizontal="left" vertical="center"/>
    </xf>
    <xf numFmtId="0" fontId="21" fillId="10" borderId="3" xfId="0" applyFont="1" applyFill="1" applyBorder="1" applyAlignment="1">
      <alignment horizontal="center" vertical="center" wrapText="1"/>
    </xf>
    <xf numFmtId="164" fontId="3" fillId="10" borderId="3" xfId="0" applyNumberFormat="1" applyFont="1" applyFill="1" applyBorder="1" applyAlignment="1">
      <alignment horizontal="center" vertical="center" wrapText="1"/>
    </xf>
    <xf numFmtId="0" fontId="3" fillId="10" borderId="3" xfId="0" applyFont="1" applyFill="1" applyBorder="1" applyAlignment="1">
      <alignment horizontal="center" vertical="center" wrapText="1"/>
    </xf>
    <xf numFmtId="0" fontId="4" fillId="3" borderId="0" xfId="0" applyFont="1" applyFill="1" applyAlignment="1">
      <alignment horizontal="center" vertical="center" wrapText="1"/>
    </xf>
    <xf numFmtId="2" fontId="3" fillId="10" borderId="3" xfId="0" applyNumberFormat="1" applyFont="1" applyFill="1" applyBorder="1" applyAlignment="1">
      <alignment horizontal="center" vertical="center" wrapText="1"/>
    </xf>
    <xf numFmtId="164" fontId="4" fillId="3" borderId="0" xfId="0" applyNumberFormat="1" applyFont="1" applyFill="1" applyAlignment="1">
      <alignment horizontal="center" vertical="center" wrapText="1"/>
    </xf>
    <xf numFmtId="164" fontId="16" fillId="10" borderId="3" xfId="0" applyNumberFormat="1" applyFont="1" applyFill="1" applyBorder="1" applyAlignment="1">
      <alignment horizontal="center" vertical="center" wrapText="1"/>
    </xf>
    <xf numFmtId="1" fontId="3" fillId="10" borderId="3" xfId="0" applyNumberFormat="1" applyFont="1" applyFill="1" applyBorder="1" applyAlignment="1">
      <alignment horizontal="center" vertical="center" wrapText="1"/>
    </xf>
    <xf numFmtId="2" fontId="20" fillId="10" borderId="3" xfId="0" applyNumberFormat="1" applyFont="1" applyFill="1" applyBorder="1" applyAlignment="1">
      <alignment horizontal="center" vertical="center"/>
    </xf>
    <xf numFmtId="2" fontId="4" fillId="3" borderId="0" xfId="0" applyNumberFormat="1" applyFont="1" applyFill="1" applyAlignment="1">
      <alignment horizontal="center" vertical="center" wrapText="1"/>
    </xf>
    <xf numFmtId="165" fontId="3" fillId="10" borderId="3" xfId="0" applyNumberFormat="1" applyFont="1" applyFill="1" applyBorder="1" applyAlignment="1">
      <alignment horizontal="center" vertical="center" wrapText="1"/>
    </xf>
    <xf numFmtId="166" fontId="3" fillId="10" borderId="3" xfId="0" applyNumberFormat="1" applyFont="1" applyFill="1" applyBorder="1" applyAlignment="1">
      <alignment horizontal="center" vertical="center" wrapText="1"/>
    </xf>
    <xf numFmtId="167" fontId="3" fillId="10" borderId="3" xfId="0" applyNumberFormat="1" applyFont="1" applyFill="1" applyBorder="1" applyAlignment="1">
      <alignment horizontal="center" vertical="center" wrapText="1"/>
    </xf>
    <xf numFmtId="0" fontId="23" fillId="10" borderId="3" xfId="0" applyFont="1" applyFill="1" applyBorder="1" applyAlignment="1">
      <alignment horizontal="center" vertical="center" wrapText="1"/>
    </xf>
    <xf numFmtId="168" fontId="4" fillId="3" borderId="0" xfId="0" applyNumberFormat="1" applyFont="1" applyFill="1" applyAlignment="1">
      <alignment horizontal="center" vertical="center" wrapText="1"/>
    </xf>
    <xf numFmtId="169" fontId="4" fillId="3" borderId="0" xfId="0" applyNumberFormat="1" applyFont="1" applyFill="1" applyAlignment="1">
      <alignment horizontal="center" vertical="center" wrapText="1"/>
    </xf>
    <xf numFmtId="167" fontId="4" fillId="3" borderId="0" xfId="0" applyNumberFormat="1" applyFont="1" applyFill="1" applyAlignment="1">
      <alignment horizontal="center" vertical="center" wrapText="1"/>
    </xf>
    <xf numFmtId="0" fontId="6" fillId="11" borderId="10" xfId="0" applyFont="1" applyFill="1" applyBorder="1" applyAlignment="1">
      <alignment horizontal="center" vertical="center"/>
    </xf>
    <xf numFmtId="167" fontId="11" fillId="6" borderId="3" xfId="0" applyNumberFormat="1" applyFont="1" applyFill="1" applyBorder="1" applyAlignment="1">
      <alignment horizontal="center" vertical="center"/>
    </xf>
    <xf numFmtId="167" fontId="8" fillId="7" borderId="3" xfId="0" applyNumberFormat="1" applyFont="1" applyFill="1" applyBorder="1" applyAlignment="1">
      <alignment horizontal="center" vertical="center"/>
    </xf>
    <xf numFmtId="0" fontId="24" fillId="7" borderId="3" xfId="0" applyFont="1" applyFill="1" applyBorder="1" applyAlignment="1">
      <alignment horizontal="center" vertical="center"/>
    </xf>
    <xf numFmtId="0" fontId="11" fillId="5" borderId="3" xfId="0" applyFont="1" applyFill="1" applyBorder="1" applyAlignment="1">
      <alignment horizontal="center" vertical="center"/>
    </xf>
    <xf numFmtId="0" fontId="8" fillId="15" borderId="3" xfId="0" applyFont="1" applyFill="1" applyBorder="1" applyAlignment="1">
      <alignment horizontal="center" vertical="center"/>
    </xf>
    <xf numFmtId="0" fontId="24" fillId="15" borderId="3" xfId="0" applyFont="1" applyFill="1" applyBorder="1" applyAlignment="1">
      <alignment horizontal="center" vertical="center"/>
    </xf>
    <xf numFmtId="0" fontId="11" fillId="5" borderId="3" xfId="0" applyFont="1" applyFill="1" applyBorder="1" applyAlignment="1">
      <alignment horizontal="left" vertical="center"/>
    </xf>
    <xf numFmtId="0" fontId="7" fillId="6" borderId="3" xfId="0" applyFont="1" applyFill="1" applyBorder="1" applyAlignment="1">
      <alignment horizontal="left" vertical="center"/>
    </xf>
    <xf numFmtId="0" fontId="2" fillId="6" borderId="3" xfId="0" applyFont="1" applyFill="1" applyBorder="1" applyAlignment="1">
      <alignment horizontal="left" vertical="center"/>
    </xf>
    <xf numFmtId="0" fontId="11" fillId="10" borderId="3" xfId="0" applyFont="1" applyFill="1" applyBorder="1" applyAlignment="1">
      <alignment horizontal="center" vertical="center"/>
    </xf>
    <xf numFmtId="0" fontId="11" fillId="6" borderId="3" xfId="0" applyFont="1" applyFill="1" applyBorder="1" applyAlignment="1">
      <alignment horizontal="center" vertical="center"/>
    </xf>
    <xf numFmtId="0" fontId="7" fillId="5" borderId="3" xfId="0" applyFont="1" applyFill="1" applyBorder="1" applyAlignment="1">
      <alignment horizontal="left" vertical="center"/>
    </xf>
    <xf numFmtId="0" fontId="2" fillId="5" borderId="3" xfId="0" applyFont="1" applyFill="1" applyBorder="1" applyAlignment="1">
      <alignment horizontal="left" vertical="center"/>
    </xf>
    <xf numFmtId="0" fontId="25" fillId="9" borderId="5" xfId="0" applyFont="1" applyFill="1" applyBorder="1" applyAlignment="1">
      <alignment horizontal="left" vertical="center" wrapText="1"/>
    </xf>
    <xf numFmtId="167" fontId="4" fillId="3" borderId="0" xfId="0" applyNumberFormat="1" applyFont="1" applyFill="1" applyAlignment="1">
      <alignment horizontal="center" vertical="center"/>
    </xf>
    <xf numFmtId="0" fontId="3" fillId="6" borderId="3" xfId="0" applyFont="1" applyFill="1" applyBorder="1" applyAlignment="1">
      <alignment horizontal="left" vertical="center"/>
    </xf>
    <xf numFmtId="0" fontId="3" fillId="6" borderId="3" xfId="0" applyFont="1" applyFill="1" applyBorder="1" applyAlignment="1">
      <alignment horizontal="center" vertical="center"/>
    </xf>
    <xf numFmtId="0" fontId="3" fillId="5" borderId="3" xfId="0" applyFont="1" applyFill="1" applyBorder="1" applyAlignment="1">
      <alignment horizontal="left" vertical="center"/>
    </xf>
    <xf numFmtId="0" fontId="3" fillId="5" borderId="3" xfId="0" applyFont="1" applyFill="1" applyBorder="1" applyAlignment="1">
      <alignment horizontal="center" vertical="center"/>
    </xf>
    <xf numFmtId="0" fontId="3" fillId="14" borderId="3" xfId="0" applyFont="1" applyFill="1" applyBorder="1" applyAlignment="1">
      <alignment horizontal="left" vertical="center"/>
    </xf>
    <xf numFmtId="0" fontId="3" fillId="14" borderId="3" xfId="0" applyFont="1" applyFill="1" applyBorder="1" applyAlignment="1">
      <alignment horizontal="center" vertical="center"/>
    </xf>
    <xf numFmtId="0" fontId="3" fillId="17" borderId="3" xfId="0" applyFont="1" applyFill="1" applyBorder="1" applyAlignment="1">
      <alignment horizontal="left" vertical="center"/>
    </xf>
    <xf numFmtId="0" fontId="3" fillId="17" borderId="3" xfId="0" applyFont="1" applyFill="1" applyBorder="1" applyAlignment="1">
      <alignment horizontal="center" vertical="center"/>
    </xf>
    <xf numFmtId="0" fontId="3" fillId="18" borderId="3" xfId="0" applyFont="1" applyFill="1" applyBorder="1" applyAlignment="1">
      <alignment horizontal="left" vertical="center"/>
    </xf>
    <xf numFmtId="0" fontId="3" fillId="18" borderId="3" xfId="0" applyFont="1" applyFill="1" applyBorder="1" applyAlignment="1">
      <alignment horizontal="center" vertical="center"/>
    </xf>
    <xf numFmtId="0" fontId="3" fillId="19" borderId="3" xfId="0" applyFont="1" applyFill="1" applyBorder="1" applyAlignment="1">
      <alignment horizontal="left" vertical="center"/>
    </xf>
    <xf numFmtId="0" fontId="3" fillId="19" borderId="3" xfId="0" applyFont="1" applyFill="1" applyBorder="1" applyAlignment="1">
      <alignment horizontal="center" vertical="center"/>
    </xf>
    <xf numFmtId="0" fontId="3" fillId="21" borderId="3" xfId="0" applyFont="1" applyFill="1" applyBorder="1" applyAlignment="1">
      <alignment horizontal="left" vertical="center"/>
    </xf>
    <xf numFmtId="0" fontId="3" fillId="21" borderId="3" xfId="0" applyFont="1" applyFill="1" applyBorder="1" applyAlignment="1">
      <alignment horizontal="center" vertical="center"/>
    </xf>
    <xf numFmtId="0" fontId="3" fillId="22" borderId="3" xfId="0" applyFont="1" applyFill="1" applyBorder="1" applyAlignment="1">
      <alignment horizontal="left" vertical="center"/>
    </xf>
    <xf numFmtId="0" fontId="3" fillId="22" borderId="3" xfId="0" applyFont="1" applyFill="1" applyBorder="1" applyAlignment="1">
      <alignment horizontal="center" vertical="center"/>
    </xf>
    <xf numFmtId="0" fontId="10" fillId="23" borderId="3" xfId="0" applyFont="1" applyFill="1" applyBorder="1" applyAlignment="1">
      <alignment horizontal="left" vertical="center"/>
    </xf>
    <xf numFmtId="0" fontId="3" fillId="25" borderId="3" xfId="0" applyFont="1" applyFill="1" applyBorder="1" applyAlignment="1">
      <alignment horizontal="left" vertical="center"/>
    </xf>
    <xf numFmtId="0" fontId="3" fillId="25" borderId="3" xfId="0" applyFont="1" applyFill="1" applyBorder="1" applyAlignment="1">
      <alignment horizontal="center" vertical="center"/>
    </xf>
    <xf numFmtId="0" fontId="3" fillId="7" borderId="3" xfId="0" applyFont="1" applyFill="1" applyBorder="1" applyAlignment="1">
      <alignment horizontal="left" vertical="center"/>
    </xf>
    <xf numFmtId="0" fontId="3" fillId="7" borderId="3" xfId="0" applyFont="1" applyFill="1" applyBorder="1" applyAlignment="1">
      <alignment horizontal="center" vertical="center"/>
    </xf>
    <xf numFmtId="0" fontId="29" fillId="18" borderId="3" xfId="0" applyFont="1" applyFill="1" applyBorder="1" applyAlignment="1">
      <alignment horizontal="left" vertical="center"/>
    </xf>
    <xf numFmtId="0" fontId="29" fillId="19" borderId="3" xfId="0" applyFont="1" applyFill="1" applyBorder="1" applyAlignment="1">
      <alignment horizontal="left" vertical="center"/>
    </xf>
    <xf numFmtId="0" fontId="3" fillId="3" borderId="3" xfId="0" applyFont="1" applyFill="1" applyBorder="1" applyAlignment="1">
      <alignment horizontal="center" vertical="center"/>
    </xf>
    <xf numFmtId="0" fontId="31" fillId="3" borderId="3" xfId="0" applyFont="1" applyFill="1" applyBorder="1" applyAlignment="1">
      <alignment horizontal="left" vertical="top" wrapText="1"/>
    </xf>
    <xf numFmtId="0" fontId="32" fillId="3" borderId="3" xfId="0" applyFont="1" applyFill="1" applyBorder="1" applyAlignment="1">
      <alignment horizontal="left" vertical="center"/>
    </xf>
    <xf numFmtId="0" fontId="31" fillId="5" borderId="3" xfId="0" applyFont="1" applyFill="1" applyBorder="1" applyAlignment="1">
      <alignment horizontal="left" vertical="top" wrapText="1"/>
    </xf>
    <xf numFmtId="0" fontId="32" fillId="5" borderId="3" xfId="0" applyFont="1" applyFill="1" applyBorder="1" applyAlignment="1">
      <alignment horizontal="left" vertical="center"/>
    </xf>
    <xf numFmtId="0" fontId="31" fillId="7" borderId="3" xfId="0" applyFont="1" applyFill="1" applyBorder="1" applyAlignment="1">
      <alignment horizontal="left" vertical="top" wrapText="1"/>
    </xf>
    <xf numFmtId="0" fontId="32" fillId="7" borderId="3" xfId="0" applyFont="1" applyFill="1" applyBorder="1" applyAlignment="1">
      <alignment horizontal="left" vertical="center"/>
    </xf>
    <xf numFmtId="0" fontId="11" fillId="3" borderId="3" xfId="0" applyFont="1" applyFill="1" applyBorder="1" applyAlignment="1">
      <alignment horizontal="center" vertical="center"/>
    </xf>
    <xf numFmtId="0" fontId="33" fillId="3" borderId="3" xfId="0" applyFont="1" applyFill="1" applyBorder="1" applyAlignment="1">
      <alignment horizontal="left" vertical="top" wrapText="1"/>
    </xf>
    <xf numFmtId="0" fontId="33" fillId="5" borderId="3" xfId="0" applyFont="1" applyFill="1" applyBorder="1" applyAlignment="1">
      <alignment horizontal="left" vertical="top" wrapText="1"/>
    </xf>
    <xf numFmtId="0" fontId="19" fillId="3" borderId="0" xfId="0" applyFont="1" applyFill="1" applyAlignment="1">
      <alignment horizontal="center" vertical="center"/>
    </xf>
    <xf numFmtId="0" fontId="11" fillId="3" borderId="0" xfId="0" applyFont="1" applyFill="1" applyAlignment="1">
      <alignment horizontal="center" vertical="center"/>
    </xf>
    <xf numFmtId="0" fontId="35" fillId="3" borderId="0" xfId="0" applyFont="1" applyFill="1" applyAlignment="1">
      <alignment horizontal="left" vertical="center"/>
    </xf>
    <xf numFmtId="0" fontId="29" fillId="3" borderId="0" xfId="0" applyFont="1" applyFill="1" applyAlignment="1">
      <alignment horizontal="left" vertical="center"/>
    </xf>
    <xf numFmtId="0" fontId="7" fillId="6" borderId="3" xfId="0" applyFont="1" applyFill="1" applyBorder="1" applyAlignment="1">
      <alignment horizontal="center" vertical="center"/>
    </xf>
    <xf numFmtId="0" fontId="15" fillId="6" borderId="3" xfId="0" applyFont="1" applyFill="1" applyBorder="1" applyAlignment="1">
      <alignment horizontal="left" vertical="center"/>
    </xf>
    <xf numFmtId="0" fontId="7" fillId="5" borderId="3" xfId="0" applyFont="1" applyFill="1" applyBorder="1" applyAlignment="1">
      <alignment horizontal="center" vertical="center"/>
    </xf>
    <xf numFmtId="167" fontId="11" fillId="5" borderId="3" xfId="0" applyNumberFormat="1" applyFont="1" applyFill="1" applyBorder="1" applyAlignment="1">
      <alignment horizontal="center" vertical="center"/>
    </xf>
    <xf numFmtId="0" fontId="15" fillId="5" borderId="3" xfId="0" applyFont="1" applyFill="1" applyBorder="1" applyAlignment="1">
      <alignment horizontal="left" vertical="center"/>
    </xf>
    <xf numFmtId="0" fontId="29" fillId="18" borderId="3" xfId="0" applyFont="1" applyFill="1" applyBorder="1" applyAlignment="1">
      <alignment horizontal="center" vertical="center"/>
    </xf>
    <xf numFmtId="167" fontId="29" fillId="18" borderId="3" xfId="0" applyNumberFormat="1" applyFont="1" applyFill="1" applyBorder="1" applyAlignment="1">
      <alignment horizontal="center" vertical="center"/>
    </xf>
    <xf numFmtId="0" fontId="8" fillId="7" borderId="3" xfId="0" applyFont="1" applyFill="1" applyBorder="1" applyAlignment="1">
      <alignment horizontal="center" vertical="center"/>
    </xf>
    <xf numFmtId="0" fontId="10" fillId="9" borderId="3" xfId="0" applyFont="1" applyFill="1" applyBorder="1" applyAlignment="1">
      <alignment horizontal="left" vertical="top"/>
    </xf>
    <xf numFmtId="0" fontId="10" fillId="23" borderId="3" xfId="0" applyFont="1" applyFill="1" applyBorder="1" applyAlignment="1">
      <alignment horizontal="left" vertical="top"/>
    </xf>
    <xf numFmtId="0" fontId="3" fillId="5" borderId="8" xfId="0" applyFont="1" applyFill="1" applyBorder="1" applyAlignment="1">
      <alignment horizontal="left" vertical="top" wrapText="1"/>
    </xf>
    <xf numFmtId="0" fontId="26" fillId="2" borderId="11" xfId="0" applyFont="1" applyFill="1" applyBorder="1" applyAlignment="1">
      <alignment horizontal="center" vertical="center"/>
    </xf>
    <xf numFmtId="0" fontId="27" fillId="3" borderId="12" xfId="0" applyFont="1" applyFill="1" applyBorder="1" applyAlignment="1">
      <alignment horizontal="left" vertical="center"/>
    </xf>
    <xf numFmtId="0" fontId="28" fillId="4" borderId="1" xfId="0" applyFont="1" applyFill="1" applyBorder="1" applyAlignment="1">
      <alignment horizontal="left" vertical="center"/>
    </xf>
    <xf numFmtId="0" fontId="27" fillId="5" borderId="13" xfId="0" applyFont="1" applyFill="1" applyBorder="1" applyAlignment="1">
      <alignment horizontal="left" vertical="center"/>
    </xf>
    <xf numFmtId="0" fontId="3" fillId="8" borderId="14" xfId="0" applyFont="1" applyFill="1" applyBorder="1" applyAlignment="1">
      <alignment horizontal="left" vertical="center"/>
    </xf>
    <xf numFmtId="0" fontId="28" fillId="16" borderId="15" xfId="0" applyFont="1" applyFill="1" applyBorder="1" applyAlignment="1">
      <alignment horizontal="left" vertical="center"/>
    </xf>
    <xf numFmtId="0" fontId="5" fillId="16" borderId="15" xfId="0" applyFont="1" applyFill="1" applyBorder="1" applyAlignment="1">
      <alignment horizontal="left" vertical="center"/>
    </xf>
    <xf numFmtId="0" fontId="28" fillId="12" borderId="16" xfId="0" applyFont="1" applyFill="1" applyBorder="1" applyAlignment="1">
      <alignment horizontal="left" vertical="center"/>
    </xf>
    <xf numFmtId="0" fontId="5" fillId="12" borderId="16" xfId="0" applyFont="1" applyFill="1" applyBorder="1" applyAlignment="1">
      <alignment horizontal="left" vertical="center"/>
    </xf>
    <xf numFmtId="0" fontId="28" fillId="20" borderId="17" xfId="0" applyFont="1" applyFill="1" applyBorder="1" applyAlignment="1">
      <alignment horizontal="left" vertical="center"/>
    </xf>
    <xf numFmtId="0" fontId="5" fillId="20" borderId="17" xfId="0" applyFont="1" applyFill="1" applyBorder="1" applyAlignment="1">
      <alignment horizontal="left" vertical="center"/>
    </xf>
    <xf numFmtId="0" fontId="3" fillId="9" borderId="8" xfId="0" applyFont="1" applyFill="1" applyBorder="1" applyAlignment="1">
      <alignment horizontal="left" vertical="top" wrapText="1"/>
    </xf>
    <xf numFmtId="0" fontId="3" fillId="23" borderId="8" xfId="0" applyFont="1" applyFill="1" applyBorder="1" applyAlignment="1">
      <alignment horizontal="left" vertical="top" wrapText="1"/>
    </xf>
    <xf numFmtId="0" fontId="28" fillId="24" borderId="18" xfId="0" applyFont="1" applyFill="1" applyBorder="1" applyAlignment="1">
      <alignment horizontal="left" vertical="center"/>
    </xf>
    <xf numFmtId="0" fontId="5" fillId="24" borderId="18" xfId="0" applyFont="1" applyFill="1" applyBorder="1" applyAlignment="1">
      <alignment horizontal="left" vertical="center"/>
    </xf>
    <xf numFmtId="0" fontId="3" fillId="18" borderId="8" xfId="0" applyFont="1" applyFill="1" applyBorder="1" applyAlignment="1">
      <alignment horizontal="left" vertical="top" wrapText="1"/>
    </xf>
    <xf numFmtId="0" fontId="3" fillId="19" borderId="8" xfId="0" applyFont="1" applyFill="1" applyBorder="1" applyAlignment="1">
      <alignment horizontal="left" vertical="top" wrapText="1"/>
    </xf>
    <xf numFmtId="0" fontId="30" fillId="14" borderId="15" xfId="0" applyFont="1" applyFill="1" applyBorder="1" applyAlignment="1">
      <alignment horizontal="left" vertical="top" wrapText="1"/>
    </xf>
    <xf numFmtId="0" fontId="15" fillId="3" borderId="0" xfId="0" applyFont="1" applyFill="1" applyAlignment="1">
      <alignment horizontal="left" vertical="center"/>
    </xf>
    <xf numFmtId="0" fontId="34" fillId="14" borderId="19" xfId="0" applyFont="1" applyFill="1" applyBorder="1" applyAlignment="1">
      <alignment horizontal="left" vertical="top" wrapText="1"/>
    </xf>
    <xf numFmtId="0" fontId="5" fillId="4" borderId="0" xfId="0" applyFont="1" applyFill="1" applyAlignment="1">
      <alignment horizontal="left" vertical="center"/>
    </xf>
    <xf numFmtId="0" fontId="3" fillId="9" borderId="3" xfId="0" applyFont="1" applyFill="1" applyBorder="1" applyAlignment="1">
      <alignment horizontal="left" vertical="top" wrapText="1"/>
    </xf>
    <xf numFmtId="0" fontId="3" fillId="23" borderId="3" xfId="0" applyFont="1" applyFill="1" applyBorder="1" applyAlignment="1">
      <alignment horizontal="left" vertical="top" wrapText="1"/>
    </xf>
  </cellXfs>
  <cellStyles count="1">
    <cellStyle name="Normal" xfId="0" builtinId="0"/>
  </cellStyles>
  <dxfs count="28">
    <dxf>
      <font>
        <b/>
        <sz val="10"/>
        <color rgb="FF1B5E20"/>
        <name val="Calibri"/>
        <charset val="1"/>
      </font>
      <fill>
        <patternFill>
          <bgColor rgb="FFE8F5E9"/>
        </patternFill>
      </fill>
    </dxf>
    <dxf>
      <font>
        <b/>
        <sz val="10"/>
        <color rgb="FFB71C1C"/>
        <name val="Calibri"/>
        <charset val="1"/>
      </font>
      <fill>
        <patternFill>
          <bgColor rgb="FFFDECEA"/>
        </patternFill>
      </fill>
    </dxf>
    <dxf>
      <font>
        <sz val="10"/>
        <color rgb="FFF0F4F0"/>
        <name val="Calibri"/>
        <charset val="1"/>
      </font>
      <fill>
        <patternFill>
          <bgColor rgb="FFF0F4F0"/>
        </patternFill>
      </fill>
    </dxf>
    <dxf>
      <font>
        <sz val="10"/>
        <color rgb="FFF0F4F0"/>
        <name val="Calibri"/>
        <charset val="1"/>
      </font>
      <fill>
        <patternFill>
          <bgColor rgb="FFF0F4F0"/>
        </patternFill>
      </fill>
    </dxf>
    <dxf>
      <font>
        <b/>
        <sz val="11"/>
        <color rgb="FF909090"/>
        <name val="Calibri"/>
        <charset val="1"/>
      </font>
      <fill>
        <patternFill>
          <bgColor rgb="FFD0D0D0"/>
        </patternFill>
      </fill>
    </dxf>
    <dxf>
      <font>
        <b/>
        <sz val="10"/>
        <color rgb="FFFFFFFF"/>
        <name val="Calibri"/>
        <charset val="1"/>
      </font>
      <fill>
        <patternFill>
          <bgColor rgb="FF1B5E20"/>
        </patternFill>
      </fill>
    </dxf>
    <dxf>
      <font>
        <b/>
        <sz val="10"/>
        <color rgb="FFFFFFFF"/>
        <name val="Calibri"/>
        <charset val="1"/>
      </font>
      <fill>
        <patternFill>
          <bgColor rgb="FFB71C1C"/>
        </patternFill>
      </fill>
    </dxf>
    <dxf>
      <font>
        <b/>
        <sz val="10"/>
        <color rgb="FFFFFFFF"/>
        <name val="Calibri"/>
        <charset val="1"/>
      </font>
      <fill>
        <patternFill>
          <bgColor rgb="FF1B5E20"/>
        </patternFill>
      </fill>
    </dxf>
    <dxf>
      <font>
        <b/>
        <sz val="10"/>
        <color rgb="FFFFFFFF"/>
        <name val="Calibri"/>
        <charset val="1"/>
      </font>
      <fill>
        <patternFill>
          <bgColor rgb="FFB71C1C"/>
        </patternFill>
      </fill>
    </dxf>
    <dxf>
      <font>
        <sz val="10"/>
        <color rgb="FFEBF0EB"/>
        <name val="Calibri"/>
        <charset val="1"/>
      </font>
      <fill>
        <patternFill>
          <bgColor rgb="FFEBF0EB"/>
        </patternFill>
      </fill>
    </dxf>
    <dxf>
      <font>
        <sz val="10"/>
        <color rgb="FFEBF0EB"/>
        <name val="Calibri"/>
        <charset val="1"/>
      </font>
      <fill>
        <patternFill>
          <bgColor rgb="FFEBF0EB"/>
        </patternFill>
      </fill>
    </dxf>
    <dxf>
      <font>
        <i/>
        <sz val="10"/>
        <color rgb="FF909090"/>
        <name val="Calibri"/>
        <charset val="1"/>
      </font>
      <fill>
        <patternFill>
          <bgColor rgb="FFD0D0D0"/>
        </patternFill>
      </fill>
    </dxf>
    <dxf>
      <font>
        <b/>
        <sz val="10"/>
        <color rgb="FF1B5E20"/>
        <name val="Calibri"/>
        <charset val="1"/>
      </font>
      <fill>
        <patternFill>
          <bgColor rgb="FFE8F5E9"/>
        </patternFill>
      </fill>
    </dxf>
    <dxf>
      <font>
        <b/>
        <sz val="10"/>
        <color rgb="FFE65100"/>
        <name val="Calibri"/>
        <charset val="1"/>
      </font>
      <fill>
        <patternFill>
          <bgColor rgb="FFFFF3E0"/>
        </patternFill>
      </fill>
    </dxf>
    <dxf>
      <font>
        <b/>
        <sz val="10"/>
        <color rgb="FF1B5E20"/>
        <name val="Calibri"/>
        <charset val="1"/>
      </font>
      <fill>
        <patternFill>
          <bgColor rgb="FFE8F5E9"/>
        </patternFill>
      </fill>
    </dxf>
    <dxf>
      <font>
        <b/>
        <sz val="10"/>
        <color rgb="FFE65100"/>
        <name val="Calibri"/>
        <charset val="1"/>
      </font>
      <fill>
        <patternFill>
          <bgColor rgb="FFFFF3E0"/>
        </patternFill>
      </fill>
    </dxf>
    <dxf>
      <font>
        <b/>
        <sz val="10"/>
        <color rgb="FF1B5E20"/>
        <name val="Calibri"/>
        <charset val="1"/>
      </font>
      <fill>
        <patternFill>
          <bgColor rgb="FFE8F5E9"/>
        </patternFill>
      </fill>
    </dxf>
    <dxf>
      <font>
        <b/>
        <sz val="10"/>
        <color rgb="FFB71C1C"/>
        <name val="Calibri"/>
        <charset val="1"/>
      </font>
      <fill>
        <patternFill>
          <bgColor rgb="FFFFEBEE"/>
        </patternFill>
      </fill>
    </dxf>
    <dxf>
      <font>
        <b/>
        <sz val="10"/>
        <color rgb="FF1B5E20"/>
        <name val="Calibri"/>
        <charset val="1"/>
      </font>
      <fill>
        <patternFill>
          <bgColor rgb="FFE8F5E9"/>
        </patternFill>
      </fill>
    </dxf>
    <dxf>
      <font>
        <b/>
        <sz val="10"/>
        <color rgb="FFE65100"/>
        <name val="Calibri"/>
        <charset val="1"/>
      </font>
      <fill>
        <patternFill>
          <bgColor rgb="FFFFF3E0"/>
        </patternFill>
      </fill>
    </dxf>
    <dxf>
      <font>
        <b/>
        <sz val="10"/>
        <color rgb="FF1B5E20"/>
        <name val="Calibri"/>
        <charset val="1"/>
      </font>
      <fill>
        <patternFill>
          <bgColor rgb="FFE8F5E9"/>
        </patternFill>
      </fill>
    </dxf>
    <dxf>
      <font>
        <b/>
        <sz val="10"/>
        <color rgb="FFB71C1C"/>
        <name val="Calibri"/>
        <charset val="1"/>
      </font>
      <fill>
        <patternFill>
          <bgColor rgb="FFFFEBEE"/>
        </patternFill>
      </fill>
    </dxf>
    <dxf>
      <font>
        <b/>
        <sz val="10"/>
        <color rgb="FF1B5E20"/>
        <name val="Calibri"/>
        <charset val="1"/>
      </font>
      <fill>
        <patternFill>
          <bgColor rgb="FFE8F5E9"/>
        </patternFill>
      </fill>
    </dxf>
    <dxf>
      <font>
        <b/>
        <sz val="10"/>
        <color rgb="FFE65100"/>
        <name val="Calibri"/>
        <charset val="1"/>
      </font>
      <fill>
        <patternFill>
          <bgColor rgb="FFFFF3E0"/>
        </patternFill>
      </fill>
    </dxf>
    <dxf>
      <font>
        <b/>
        <sz val="10"/>
        <color rgb="FFB71C1C"/>
        <name val="Calibri"/>
        <charset val="1"/>
      </font>
      <fill>
        <patternFill>
          <bgColor rgb="FFFFEBEE"/>
        </patternFill>
      </fill>
    </dxf>
    <dxf>
      <font>
        <b/>
        <sz val="10"/>
        <color rgb="FF1B5E20"/>
        <name val="Calibri"/>
        <charset val="1"/>
      </font>
      <fill>
        <patternFill>
          <bgColor rgb="FFE8F5E9"/>
        </patternFill>
      </fill>
    </dxf>
    <dxf>
      <font>
        <sz val="10"/>
        <color rgb="FFF0F4F0"/>
        <name val="Calibri"/>
        <charset val="1"/>
      </font>
      <fill>
        <patternFill>
          <bgColor rgb="FFF0F4F0"/>
        </patternFill>
      </fill>
    </dxf>
    <dxf>
      <font>
        <sz val="10"/>
        <color rgb="FFEBF0EB"/>
        <name val="Calibri"/>
        <charset val="1"/>
      </font>
      <fill>
        <patternFill>
          <bgColor rgb="FFEBF0EB"/>
        </patternFill>
      </fill>
    </dxf>
  </dxfs>
  <tableStyles count="0" defaultTableStyle="TableStyleMedium2" defaultPivotStyle="PivotStyleLight16"/>
  <colors>
    <indexedColors>
      <rgbColor rgb="FF000000"/>
      <rgbColor rgb="FFFFFFFF"/>
      <rgbColor rgb="FFFF0000"/>
      <rgbColor rgb="FF00FF00"/>
      <rgbColor rgb="FF0000FF"/>
      <rgbColor rgb="FFE8F5E9"/>
      <rgbColor rgb="FFFF00FF"/>
      <rgbColor rgb="FFF0F4F0"/>
      <rgbColor rgb="FF800000"/>
      <rgbColor rgb="FF1B5E20"/>
      <rgbColor rgb="FF000080"/>
      <rgbColor rgb="FFFFF5F5"/>
      <rgbColor rgb="FF6A1B9A"/>
      <rgbColor rgb="FF2E5440"/>
      <rgbColor rgb="FFCCCCCC"/>
      <rgbColor rgb="FF6A8A6A"/>
      <rgbColor rgb="FFAAAAAA"/>
      <rgbColor rgb="FF993366"/>
      <rgbColor rgb="FFFFF8E1"/>
      <rgbColor rgb="FFE0F2F1"/>
      <rgbColor rgb="FF4A148C"/>
      <rgbColor rgb="FFFFEBEE"/>
      <rgbColor rgb="FF1565C0"/>
      <rgbColor rgb="FFD0D0D0"/>
      <rgbColor rgb="FF000080"/>
      <rgbColor rgb="FFFF00FF"/>
      <rgbColor rgb="FFE8F0E8"/>
      <rgbColor rgb="FFF5F7F5"/>
      <rgbColor rgb="FF800080"/>
      <rgbColor rgb="FF800000"/>
      <rgbColor rgb="FF2E4A36"/>
      <rgbColor rgb="FF0000FF"/>
      <rgbColor rgb="FF00CCFF"/>
      <rgbColor rgb="FFE3F2FD"/>
      <rgbColor rgb="FFC8E6C9"/>
      <rgbColor rgb="FFFFF3E0"/>
      <rgbColor rgb="FFA5D6A7"/>
      <rgbColor rgb="FFF3E5F5"/>
      <rgbColor rgb="FFEDE7F6"/>
      <rgbColor rgb="FFDDDDDD"/>
      <rgbColor rgb="FF4A8ACA"/>
      <rgbColor rgb="FFEBF3FE"/>
      <rgbColor rgb="FFEBF0EB"/>
      <rgbColor rgb="FFF5C842"/>
      <rgbColor rgb="FFFDECEA"/>
      <rgbColor rgb="FFE65100"/>
      <rgbColor rgb="FF555555"/>
      <rgbColor rgb="FF909090"/>
      <rgbColor rgb="FF1A3A6A"/>
      <rgbColor rgb="FF2E7D32"/>
      <rgbColor rgb="FF0D2B1A"/>
      <rgbColor rgb="FF1A1A1A"/>
      <rgbColor rgb="FFB71C1C"/>
      <rgbColor rgb="FF993366"/>
      <rgbColor rgb="FF0D47A1"/>
      <rgbColor rgb="FF1C3A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5E20"/>
  </sheetPr>
  <dimension ref="A1:C119"/>
  <sheetViews>
    <sheetView showGridLines="0" tabSelected="1" topLeftCell="A55" zoomScaleNormal="100" workbookViewId="0">
      <selection sqref="A1:B1"/>
    </sheetView>
  </sheetViews>
  <sheetFormatPr defaultColWidth="8.7109375" defaultRowHeight="15" x14ac:dyDescent="0.25"/>
  <cols>
    <col min="1" max="1" width="28" customWidth="1"/>
    <col min="2" max="2" width="70" customWidth="1"/>
    <col min="3" max="3" width="2" customWidth="1"/>
  </cols>
  <sheetData>
    <row r="1" spans="1:3" ht="39.75" customHeight="1" x14ac:dyDescent="0.25">
      <c r="A1" s="14" t="s">
        <v>0</v>
      </c>
      <c r="B1" s="14"/>
      <c r="C1" s="15"/>
    </row>
    <row r="2" spans="1:3" ht="18" customHeight="1" x14ac:dyDescent="0.25">
      <c r="A2" s="13" t="s">
        <v>1</v>
      </c>
      <c r="B2" s="13"/>
      <c r="C2" s="15"/>
    </row>
    <row r="3" spans="1:3" ht="9.75" customHeight="1" x14ac:dyDescent="0.25">
      <c r="A3" s="12" t="s">
        <v>2</v>
      </c>
      <c r="B3" s="12"/>
      <c r="C3" s="15"/>
    </row>
    <row r="4" spans="1:3" ht="48" customHeight="1" x14ac:dyDescent="0.25">
      <c r="A4" s="12"/>
      <c r="B4" s="12"/>
      <c r="C4" s="15"/>
    </row>
    <row r="5" spans="1:3" ht="6" customHeight="1" x14ac:dyDescent="0.25">
      <c r="A5" s="16"/>
      <c r="B5" s="17"/>
      <c r="C5" s="15"/>
    </row>
    <row r="6" spans="1:3" ht="21.75" customHeight="1" x14ac:dyDescent="0.25">
      <c r="A6" s="11" t="s">
        <v>3</v>
      </c>
      <c r="B6" s="11"/>
      <c r="C6" s="15"/>
    </row>
    <row r="7" spans="1:3" ht="18" customHeight="1" x14ac:dyDescent="0.25">
      <c r="A7" s="18" t="s">
        <v>4</v>
      </c>
      <c r="B7" s="18" t="s">
        <v>5</v>
      </c>
      <c r="C7" s="15"/>
    </row>
    <row r="8" spans="1:3" ht="18" customHeight="1" x14ac:dyDescent="0.25">
      <c r="A8" s="19"/>
      <c r="B8" s="19"/>
      <c r="C8" s="15"/>
    </row>
    <row r="9" spans="1:3" ht="19.5" customHeight="1" x14ac:dyDescent="0.25">
      <c r="A9" s="16"/>
      <c r="B9" s="16"/>
      <c r="C9" s="15"/>
    </row>
    <row r="10" spans="1:3" ht="19.5" customHeight="1" x14ac:dyDescent="0.25">
      <c r="A10" s="20" t="s">
        <v>6</v>
      </c>
      <c r="B10" s="21" t="s">
        <v>7</v>
      </c>
      <c r="C10" s="15"/>
    </row>
    <row r="11" spans="1:3" ht="19.5" customHeight="1" x14ac:dyDescent="0.25">
      <c r="A11" s="22" t="s">
        <v>8</v>
      </c>
      <c r="B11" s="23" t="s">
        <v>9</v>
      </c>
      <c r="C11" s="15"/>
    </row>
    <row r="12" spans="1:3" ht="19.5" customHeight="1" x14ac:dyDescent="0.25">
      <c r="A12" s="20" t="s">
        <v>10</v>
      </c>
      <c r="B12" s="21" t="s">
        <v>11</v>
      </c>
    </row>
    <row r="13" spans="1:3" ht="19.5" customHeight="1" x14ac:dyDescent="0.25">
      <c r="A13" s="20" t="s">
        <v>12</v>
      </c>
      <c r="B13" s="21" t="s">
        <v>13</v>
      </c>
      <c r="C13" s="15"/>
    </row>
    <row r="14" spans="1:3" ht="15.75" customHeight="1" x14ac:dyDescent="0.25">
      <c r="A14" s="22" t="s">
        <v>14</v>
      </c>
      <c r="B14" s="23" t="s">
        <v>15</v>
      </c>
      <c r="C14" s="15"/>
    </row>
    <row r="15" spans="1:3" ht="21.75" customHeight="1" x14ac:dyDescent="0.25">
      <c r="A15" s="15"/>
      <c r="B15" s="15"/>
      <c r="C15" s="15"/>
    </row>
    <row r="16" spans="1:3" ht="51.75" customHeight="1" x14ac:dyDescent="0.25">
      <c r="A16" s="24" t="s">
        <v>16</v>
      </c>
      <c r="C16" s="15"/>
    </row>
    <row r="17" spans="1:3" ht="51.75" customHeight="1" x14ac:dyDescent="0.25">
      <c r="A17" s="25" t="s">
        <v>17</v>
      </c>
      <c r="B17" s="26" t="s">
        <v>18</v>
      </c>
      <c r="C17" s="15"/>
    </row>
    <row r="18" spans="1:3" ht="51.75" customHeight="1" x14ac:dyDescent="0.25">
      <c r="A18" s="27" t="s">
        <v>19</v>
      </c>
      <c r="B18" s="28" t="s">
        <v>20</v>
      </c>
      <c r="C18" s="15"/>
    </row>
    <row r="19" spans="1:3" ht="51.75" customHeight="1" x14ac:dyDescent="0.25">
      <c r="A19" s="25" t="s">
        <v>21</v>
      </c>
      <c r="B19" s="26" t="s">
        <v>22</v>
      </c>
      <c r="C19" s="15"/>
    </row>
    <row r="20" spans="1:3" ht="51.75" customHeight="1" x14ac:dyDescent="0.25">
      <c r="A20" s="27" t="s">
        <v>23</v>
      </c>
      <c r="B20" s="28" t="s">
        <v>24</v>
      </c>
      <c r="C20" s="15"/>
    </row>
    <row r="21" spans="1:3" ht="15.75" customHeight="1" x14ac:dyDescent="0.25">
      <c r="A21" s="25" t="s">
        <v>25</v>
      </c>
      <c r="B21" s="26" t="s">
        <v>26</v>
      </c>
      <c r="C21" s="15"/>
    </row>
    <row r="22" spans="1:3" ht="21.75" customHeight="1" x14ac:dyDescent="0.25">
      <c r="A22" s="10"/>
      <c r="B22" s="10"/>
      <c r="C22" s="15"/>
    </row>
    <row r="23" spans="1:3" ht="18" customHeight="1" x14ac:dyDescent="0.25">
      <c r="A23" s="24" t="s">
        <v>27</v>
      </c>
      <c r="C23" s="15"/>
    </row>
    <row r="24" spans="1:3" ht="43.5" customHeight="1" x14ac:dyDescent="0.25">
      <c r="A24" s="29" t="s">
        <v>28</v>
      </c>
      <c r="B24" s="29" t="s">
        <v>29</v>
      </c>
      <c r="C24" s="15"/>
    </row>
    <row r="25" spans="1:3" ht="43.5" customHeight="1" x14ac:dyDescent="0.25">
      <c r="A25" s="22" t="s">
        <v>30</v>
      </c>
      <c r="B25" s="23" t="s">
        <v>31</v>
      </c>
      <c r="C25" s="15"/>
    </row>
    <row r="26" spans="1:3" ht="43.5" customHeight="1" x14ac:dyDescent="0.25">
      <c r="A26" s="20" t="s">
        <v>32</v>
      </c>
      <c r="B26" s="21" t="s">
        <v>33</v>
      </c>
      <c r="C26" s="15"/>
    </row>
    <row r="27" spans="1:3" ht="43.5" customHeight="1" x14ac:dyDescent="0.25">
      <c r="A27" s="22" t="s">
        <v>34</v>
      </c>
      <c r="B27" s="23" t="s">
        <v>35</v>
      </c>
      <c r="C27" s="15"/>
    </row>
    <row r="28" spans="1:3" ht="43.5" customHeight="1" x14ac:dyDescent="0.25">
      <c r="A28" s="20" t="s">
        <v>36</v>
      </c>
      <c r="B28" s="21" t="s">
        <v>37</v>
      </c>
      <c r="C28" s="15"/>
    </row>
    <row r="29" spans="1:3" ht="43.5" customHeight="1" x14ac:dyDescent="0.25">
      <c r="A29" s="22" t="s">
        <v>38</v>
      </c>
      <c r="B29" s="23" t="s">
        <v>39</v>
      </c>
      <c r="C29" s="15"/>
    </row>
    <row r="30" spans="1:3" ht="43.5" customHeight="1" x14ac:dyDescent="0.25">
      <c r="A30" s="20" t="s">
        <v>40</v>
      </c>
      <c r="B30" s="21" t="s">
        <v>41</v>
      </c>
      <c r="C30" s="15"/>
    </row>
    <row r="31" spans="1:3" ht="43.5" customHeight="1" x14ac:dyDescent="0.25">
      <c r="A31" s="22" t="s">
        <v>42</v>
      </c>
      <c r="B31" s="23" t="s">
        <v>43</v>
      </c>
      <c r="C31" s="15"/>
    </row>
    <row r="32" spans="1:3" ht="43.5" customHeight="1" x14ac:dyDescent="0.25">
      <c r="A32" s="20" t="s">
        <v>44</v>
      </c>
      <c r="B32" s="21" t="s">
        <v>45</v>
      </c>
      <c r="C32" s="15"/>
    </row>
    <row r="33" spans="1:3" ht="43.5" customHeight="1" x14ac:dyDescent="0.25">
      <c r="A33" s="22" t="s">
        <v>46</v>
      </c>
      <c r="B33" s="23" t="s">
        <v>47</v>
      </c>
      <c r="C33" s="15"/>
    </row>
    <row r="34" spans="1:3" ht="43.5" customHeight="1" x14ac:dyDescent="0.25">
      <c r="A34" s="20" t="s">
        <v>48</v>
      </c>
      <c r="B34" s="21" t="s">
        <v>49</v>
      </c>
      <c r="C34" s="15"/>
    </row>
    <row r="35" spans="1:3" ht="43.5" customHeight="1" x14ac:dyDescent="0.25">
      <c r="A35" s="22" t="s">
        <v>50</v>
      </c>
      <c r="B35" s="23" t="s">
        <v>51</v>
      </c>
      <c r="C35" s="15"/>
    </row>
    <row r="36" spans="1:3" ht="43.5" customHeight="1" x14ac:dyDescent="0.25">
      <c r="A36" s="20" t="s">
        <v>52</v>
      </c>
      <c r="B36" s="21" t="s">
        <v>53</v>
      </c>
      <c r="C36" s="15"/>
    </row>
    <row r="37" spans="1:3" ht="43.5" customHeight="1" x14ac:dyDescent="0.25">
      <c r="A37" s="22" t="s">
        <v>54</v>
      </c>
      <c r="B37" s="23" t="s">
        <v>55</v>
      </c>
      <c r="C37" s="15"/>
    </row>
    <row r="38" spans="1:3" ht="43.5" customHeight="1" x14ac:dyDescent="0.25">
      <c r="A38" s="20" t="s">
        <v>56</v>
      </c>
      <c r="B38" s="21" t="s">
        <v>57</v>
      </c>
      <c r="C38" s="15"/>
    </row>
    <row r="39" spans="1:3" ht="43.5" customHeight="1" x14ac:dyDescent="0.25">
      <c r="A39" s="22" t="s">
        <v>58</v>
      </c>
      <c r="B39" s="23" t="s">
        <v>59</v>
      </c>
      <c r="C39" s="15"/>
    </row>
    <row r="40" spans="1:3" ht="15.75" customHeight="1" x14ac:dyDescent="0.25">
      <c r="A40" s="20" t="s">
        <v>60</v>
      </c>
      <c r="B40" s="21" t="s">
        <v>61</v>
      </c>
      <c r="C40" s="15"/>
    </row>
    <row r="41" spans="1:3" ht="21.75" customHeight="1" x14ac:dyDescent="0.25">
      <c r="A41" s="15"/>
      <c r="B41" s="15"/>
      <c r="C41" s="15"/>
    </row>
    <row r="42" spans="1:3" ht="24" customHeight="1" x14ac:dyDescent="0.25">
      <c r="A42" s="24" t="s">
        <v>62</v>
      </c>
      <c r="C42" s="15"/>
    </row>
    <row r="43" spans="1:3" ht="24" customHeight="1" x14ac:dyDescent="0.25">
      <c r="A43" s="30" t="s">
        <v>63</v>
      </c>
      <c r="B43" s="31" t="s">
        <v>64</v>
      </c>
      <c r="C43" s="15"/>
    </row>
    <row r="44" spans="1:3" ht="24" customHeight="1" x14ac:dyDescent="0.25">
      <c r="A44" s="32" t="s">
        <v>65</v>
      </c>
      <c r="B44" s="33" t="s">
        <v>66</v>
      </c>
      <c r="C44" s="15"/>
    </row>
    <row r="45" spans="1:3" ht="24" customHeight="1" x14ac:dyDescent="0.25">
      <c r="A45" s="34" t="s">
        <v>67</v>
      </c>
      <c r="B45" s="31" t="s">
        <v>68</v>
      </c>
      <c r="C45" s="15"/>
    </row>
    <row r="46" spans="1:3" ht="24" customHeight="1" x14ac:dyDescent="0.25">
      <c r="A46" s="35" t="s">
        <v>69</v>
      </c>
      <c r="B46" s="33" t="s">
        <v>70</v>
      </c>
      <c r="C46" s="15"/>
    </row>
    <row r="47" spans="1:3" ht="24" customHeight="1" x14ac:dyDescent="0.25">
      <c r="A47" s="36" t="s">
        <v>71</v>
      </c>
      <c r="B47" s="31" t="s">
        <v>72</v>
      </c>
      <c r="C47" s="15"/>
    </row>
    <row r="48" spans="1:3" ht="24" customHeight="1" x14ac:dyDescent="0.25">
      <c r="A48" s="37" t="s">
        <v>73</v>
      </c>
      <c r="B48" s="33" t="s">
        <v>74</v>
      </c>
      <c r="C48" s="15"/>
    </row>
    <row r="49" spans="1:3" ht="15.75" customHeight="1" x14ac:dyDescent="0.25">
      <c r="A49" s="38" t="s">
        <v>75</v>
      </c>
      <c r="B49" s="31" t="s">
        <v>76</v>
      </c>
      <c r="C49" s="15"/>
    </row>
    <row r="50" spans="1:3" ht="21.75" customHeight="1" x14ac:dyDescent="0.25">
      <c r="A50" s="15"/>
      <c r="B50" s="15"/>
      <c r="C50" s="15"/>
    </row>
    <row r="51" spans="1:3" ht="67.5" customHeight="1" x14ac:dyDescent="0.25">
      <c r="A51" s="24" t="s">
        <v>77</v>
      </c>
      <c r="C51" s="15"/>
    </row>
    <row r="52" spans="1:3" ht="67.5" customHeight="1" x14ac:dyDescent="0.25">
      <c r="A52" s="39" t="s">
        <v>78</v>
      </c>
      <c r="B52" s="40" t="s">
        <v>79</v>
      </c>
      <c r="C52" s="15"/>
    </row>
    <row r="53" spans="1:3" ht="67.5" customHeight="1" x14ac:dyDescent="0.25">
      <c r="A53" s="25" t="s">
        <v>80</v>
      </c>
      <c r="B53" s="26" t="s">
        <v>81</v>
      </c>
      <c r="C53" s="15"/>
    </row>
    <row r="54" spans="1:3" ht="15.75" customHeight="1" x14ac:dyDescent="0.25">
      <c r="A54" s="41" t="s">
        <v>82</v>
      </c>
      <c r="B54" s="42" t="s">
        <v>83</v>
      </c>
      <c r="C54" s="15"/>
    </row>
    <row r="55" spans="1:3" ht="21.75" customHeight="1" x14ac:dyDescent="0.25">
      <c r="A55" s="15"/>
      <c r="B55" s="15"/>
      <c r="C55" s="15"/>
    </row>
    <row r="56" spans="1:3" ht="18" customHeight="1" x14ac:dyDescent="0.25">
      <c r="A56" s="24" t="s">
        <v>84</v>
      </c>
      <c r="C56" s="15"/>
    </row>
    <row r="57" spans="1:3" ht="43.5" customHeight="1" x14ac:dyDescent="0.25">
      <c r="A57" s="29" t="s">
        <v>85</v>
      </c>
      <c r="B57" s="29" t="s">
        <v>86</v>
      </c>
      <c r="C57" s="15"/>
    </row>
    <row r="58" spans="1:3" ht="43.5" customHeight="1" x14ac:dyDescent="0.25">
      <c r="A58" s="22" t="s">
        <v>87</v>
      </c>
      <c r="B58" s="23" t="s">
        <v>88</v>
      </c>
      <c r="C58" s="15"/>
    </row>
    <row r="59" spans="1:3" ht="43.5" customHeight="1" x14ac:dyDescent="0.25">
      <c r="A59" s="20" t="s">
        <v>89</v>
      </c>
      <c r="B59" s="21" t="s">
        <v>90</v>
      </c>
      <c r="C59" s="15"/>
    </row>
    <row r="60" spans="1:3" ht="43.5" customHeight="1" x14ac:dyDescent="0.25">
      <c r="A60" s="22" t="s">
        <v>91</v>
      </c>
      <c r="B60" s="23" t="s">
        <v>92</v>
      </c>
      <c r="C60" s="15"/>
    </row>
    <row r="61" spans="1:3" ht="43.5" customHeight="1" x14ac:dyDescent="0.25">
      <c r="A61" s="20" t="s">
        <v>93</v>
      </c>
      <c r="B61" s="21" t="s">
        <v>94</v>
      </c>
      <c r="C61" s="15"/>
    </row>
    <row r="62" spans="1:3" ht="43.5" customHeight="1" x14ac:dyDescent="0.25">
      <c r="A62" s="22" t="s">
        <v>95</v>
      </c>
      <c r="B62" s="23" t="s">
        <v>96</v>
      </c>
      <c r="C62" s="15"/>
    </row>
    <row r="63" spans="1:3" ht="43.5" customHeight="1" x14ac:dyDescent="0.25">
      <c r="A63" s="20" t="s">
        <v>97</v>
      </c>
      <c r="B63" s="21" t="s">
        <v>98</v>
      </c>
      <c r="C63" s="15"/>
    </row>
    <row r="64" spans="1:3" ht="43.5" customHeight="1" x14ac:dyDescent="0.25">
      <c r="A64" s="22" t="s">
        <v>99</v>
      </c>
      <c r="B64" s="23" t="s">
        <v>100</v>
      </c>
      <c r="C64" s="15"/>
    </row>
    <row r="65" spans="1:3" ht="43.5" customHeight="1" x14ac:dyDescent="0.25">
      <c r="A65" s="20" t="s">
        <v>101</v>
      </c>
      <c r="B65" s="21" t="s">
        <v>102</v>
      </c>
      <c r="C65" s="15"/>
    </row>
    <row r="66" spans="1:3" ht="15.75" customHeight="1" x14ac:dyDescent="0.25">
      <c r="A66" s="22" t="s">
        <v>103</v>
      </c>
      <c r="B66" s="23" t="s">
        <v>104</v>
      </c>
      <c r="C66" s="15"/>
    </row>
    <row r="67" spans="1:3" ht="43.5" customHeight="1" x14ac:dyDescent="0.25">
      <c r="A67" s="22" t="s">
        <v>105</v>
      </c>
      <c r="B67" s="23" t="s">
        <v>106</v>
      </c>
      <c r="C67" s="15"/>
    </row>
    <row r="68" spans="1:3" ht="51.75" customHeight="1" x14ac:dyDescent="0.25">
      <c r="A68" s="43" t="s">
        <v>107</v>
      </c>
      <c r="B68" s="40" t="s">
        <v>108</v>
      </c>
      <c r="C68" s="15"/>
    </row>
    <row r="69" spans="1:3" ht="51.75" customHeight="1" x14ac:dyDescent="0.25">
      <c r="A69" s="44" t="s">
        <v>109</v>
      </c>
      <c r="B69" s="26" t="s">
        <v>110</v>
      </c>
      <c r="C69" s="15"/>
    </row>
    <row r="70" spans="1:3" ht="43.5" customHeight="1" x14ac:dyDescent="0.25">
      <c r="A70" s="45" t="s">
        <v>111</v>
      </c>
      <c r="B70" s="40" t="s">
        <v>112</v>
      </c>
      <c r="C70" s="15"/>
    </row>
    <row r="71" spans="1:3" ht="15.75" customHeight="1" x14ac:dyDescent="0.25"/>
    <row r="72" spans="1:3" ht="15.75" customHeight="1" x14ac:dyDescent="0.25"/>
    <row r="73" spans="1:3" ht="15.75" customHeight="1" x14ac:dyDescent="0.25"/>
    <row r="74" spans="1:3" ht="15.75" customHeight="1" x14ac:dyDescent="0.25"/>
    <row r="75" spans="1:3" ht="15.75" customHeight="1" x14ac:dyDescent="0.25"/>
    <row r="76" spans="1:3" ht="15.75" customHeight="1" x14ac:dyDescent="0.25"/>
    <row r="77" spans="1:3" ht="15.75" customHeight="1" x14ac:dyDescent="0.25"/>
    <row r="78" spans="1:3" ht="15.75" customHeight="1" x14ac:dyDescent="0.25"/>
    <row r="79" spans="1:3" ht="15.75" customHeight="1" x14ac:dyDescent="0.25"/>
    <row r="80" spans="1: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sheetData>
  <mergeCells count="5">
    <mergeCell ref="A1:B1"/>
    <mergeCell ref="A2:B2"/>
    <mergeCell ref="A3:B4"/>
    <mergeCell ref="A6:B6"/>
    <mergeCell ref="A22:B2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32"/>
  </sheetPr>
  <dimension ref="A1:G79"/>
  <sheetViews>
    <sheetView showGridLines="0" tabSelected="1" zoomScaleNormal="100" workbookViewId="0">
      <selection sqref="A1:B1"/>
    </sheetView>
  </sheetViews>
  <sheetFormatPr defaultColWidth="8.7109375" defaultRowHeight="15" x14ac:dyDescent="0.25"/>
  <cols>
    <col min="1" max="1" width="2" customWidth="1"/>
    <col min="2" max="2" width="30" customWidth="1"/>
    <col min="3" max="3" width="18" customWidth="1"/>
    <col min="4" max="4" width="2" customWidth="1"/>
    <col min="5" max="5" width="30" customWidth="1"/>
    <col min="6" max="6" width="22" customWidth="1"/>
    <col min="7" max="7" width="2" customWidth="1"/>
  </cols>
  <sheetData>
    <row r="1" spans="1:7" ht="36" customHeight="1" x14ac:dyDescent="0.25">
      <c r="A1" s="9" t="s">
        <v>0</v>
      </c>
      <c r="B1" s="9"/>
      <c r="C1" s="9"/>
      <c r="D1" s="9"/>
      <c r="E1" s="9"/>
      <c r="F1" s="9"/>
      <c r="G1" s="9"/>
    </row>
    <row r="2" spans="1:7" ht="19.5" customHeight="1" x14ac:dyDescent="0.25">
      <c r="A2" s="9"/>
      <c r="B2" s="9"/>
      <c r="C2" s="9"/>
      <c r="D2" s="9"/>
      <c r="E2" s="9"/>
      <c r="F2" s="9"/>
      <c r="G2" s="9"/>
    </row>
    <row r="3" spans="1:7" ht="19.5" customHeight="1" x14ac:dyDescent="0.25">
      <c r="A3" s="8" t="s">
        <v>113</v>
      </c>
      <c r="B3" s="8"/>
      <c r="C3" s="8"/>
      <c r="D3" s="8"/>
      <c r="E3" s="8"/>
      <c r="F3" s="8"/>
      <c r="G3" s="8"/>
    </row>
    <row r="4" spans="1:7" ht="25.5" customHeight="1" x14ac:dyDescent="0.25">
      <c r="A4" s="17"/>
      <c r="B4" s="46" t="s">
        <v>114</v>
      </c>
      <c r="C4" s="47" t="s">
        <v>115</v>
      </c>
      <c r="D4" s="17"/>
      <c r="E4" s="7" t="str">
        <f>IFERROR(INDEX(Presets!C7:C11,MATCH(C4,Presets!B7:B11,0)),"— select a preset —")</f>
        <v>Node alive + battery voltage + temperature</v>
      </c>
      <c r="F4" s="7"/>
      <c r="G4" s="17"/>
    </row>
    <row r="5" spans="1:7" ht="19.5" customHeight="1" x14ac:dyDescent="0.25">
      <c r="A5" s="17"/>
      <c r="B5" s="6" t="s">
        <v>116</v>
      </c>
      <c r="C5" s="6"/>
      <c r="D5" s="17"/>
      <c r="E5" s="6" t="s">
        <v>117</v>
      </c>
      <c r="F5" s="6"/>
      <c r="G5" s="17"/>
    </row>
    <row r="6" spans="1:7" ht="19.5" customHeight="1" x14ac:dyDescent="0.25">
      <c r="A6" s="17"/>
      <c r="B6" s="48" t="s">
        <v>118</v>
      </c>
      <c r="C6" s="49">
        <f>IFERROR(INDEX(Presets!D7:D11,MATCH($C$4,Presets!$B$7:$B$11,0)),"")</f>
        <v>12</v>
      </c>
      <c r="D6" s="17"/>
      <c r="E6" s="48" t="s">
        <v>119</v>
      </c>
      <c r="F6" s="50">
        <v>1</v>
      </c>
      <c r="G6" s="17"/>
    </row>
    <row r="7" spans="1:7" ht="19.5" customHeight="1" x14ac:dyDescent="0.25">
      <c r="A7" s="17"/>
      <c r="B7" s="48" t="s">
        <v>120</v>
      </c>
      <c r="C7" s="49">
        <f>IFERROR(INDEX(Presets!E7:E11,MATCH($C$4,Presets!$B$7:$B$11,0)),"")</f>
        <v>125</v>
      </c>
      <c r="D7" s="17"/>
      <c r="E7" s="51" t="s">
        <v>121</v>
      </c>
      <c r="F7" s="52" t="s">
        <v>122</v>
      </c>
      <c r="G7" s="17"/>
    </row>
    <row r="8" spans="1:7" ht="19.5" customHeight="1" x14ac:dyDescent="0.25">
      <c r="A8" s="17"/>
      <c r="B8" s="48" t="s">
        <v>123</v>
      </c>
      <c r="C8" s="49">
        <f>IFERROR(INDEX(Presets!F7:F11,MATCH($C$4,Presets!$B$7:$B$11,0)),"")</f>
        <v>6</v>
      </c>
      <c r="D8" s="17"/>
      <c r="E8" s="48" t="s">
        <v>124</v>
      </c>
      <c r="F8" s="50">
        <v>15</v>
      </c>
      <c r="G8" s="17"/>
    </row>
    <row r="9" spans="1:7" ht="19.5" customHeight="1" x14ac:dyDescent="0.25">
      <c r="A9" s="17"/>
      <c r="B9" s="48" t="s">
        <v>125</v>
      </c>
      <c r="C9" s="50">
        <v>8</v>
      </c>
      <c r="D9" s="17"/>
      <c r="E9" s="48" t="s">
        <v>126</v>
      </c>
      <c r="F9" s="50">
        <v>2000</v>
      </c>
      <c r="G9" s="17"/>
    </row>
    <row r="10" spans="1:7" ht="19.5" customHeight="1" x14ac:dyDescent="0.25">
      <c r="A10" s="17"/>
      <c r="B10" s="48" t="s">
        <v>127</v>
      </c>
      <c r="C10" s="49">
        <f>IFERROR(INDEX(Presets!G7:G11,MATCH($C$4,Presets!$B$7:$B$11,0)),"")</f>
        <v>12</v>
      </c>
      <c r="D10" s="17"/>
      <c r="E10" s="48" t="s">
        <v>128</v>
      </c>
      <c r="F10" s="53" t="str">
        <f>IF(F6=1,"EU 868 MHz","US 915 MHz")</f>
        <v>EU 868 MHz</v>
      </c>
      <c r="G10" s="17"/>
    </row>
    <row r="11" spans="1:7" ht="19.5" customHeight="1" x14ac:dyDescent="0.25">
      <c r="A11" s="17"/>
      <c r="B11" s="48" t="s">
        <v>129</v>
      </c>
      <c r="C11" s="50">
        <v>1</v>
      </c>
      <c r="D11" s="17"/>
      <c r="E11" s="17"/>
      <c r="F11" s="17"/>
      <c r="G11" s="17"/>
    </row>
    <row r="12" spans="1:7" ht="19.5" customHeight="1" x14ac:dyDescent="0.25">
      <c r="A12" s="17"/>
      <c r="B12" s="48" t="s">
        <v>130</v>
      </c>
      <c r="C12" s="50">
        <v>1</v>
      </c>
      <c r="D12" s="17"/>
      <c r="E12" s="17"/>
      <c r="F12" s="17"/>
      <c r="G12" s="17"/>
    </row>
    <row r="13" spans="1:7" ht="19.5" customHeight="1" x14ac:dyDescent="0.25">
      <c r="A13" s="17"/>
      <c r="B13" s="48" t="s">
        <v>131</v>
      </c>
      <c r="C13" s="54">
        <f>IF((2^C6/(C7*1000))*1000&gt;16,1,0)</f>
        <v>1</v>
      </c>
      <c r="D13" s="17"/>
      <c r="E13" s="17"/>
      <c r="F13" s="17"/>
      <c r="G13" s="17"/>
    </row>
    <row r="14" spans="1:7" ht="19.5" customHeight="1" x14ac:dyDescent="0.25">
      <c r="A14" s="17"/>
      <c r="B14" s="48" t="s">
        <v>132</v>
      </c>
      <c r="C14" s="50">
        <v>0</v>
      </c>
      <c r="D14" s="55"/>
      <c r="E14" s="17"/>
      <c r="F14" s="17"/>
      <c r="G14" s="17"/>
    </row>
    <row r="15" spans="1:7" ht="19.5" customHeight="1" x14ac:dyDescent="0.25">
      <c r="A15" s="17"/>
      <c r="B15" s="48" t="s">
        <v>133</v>
      </c>
      <c r="C15" s="56">
        <f>IF(C13=1,1,C14)</f>
        <v>1</v>
      </c>
      <c r="D15" s="57"/>
      <c r="E15" s="17"/>
      <c r="F15" s="17"/>
      <c r="G15" s="17"/>
    </row>
    <row r="16" spans="1:7" ht="19.5" customHeight="1" x14ac:dyDescent="0.25">
      <c r="A16" s="17"/>
      <c r="B16" s="48" t="s">
        <v>134</v>
      </c>
      <c r="C16" s="49">
        <f>IFERROR(IF($F$6=1,INDEX(Presets!$H$7:$H$11,MATCH($C$4,Presets!$B$7:$B$11,0)),INDEX(Presets!$I$7:$I$11,MATCH($C$4,Presets!$B$7:$B$11,0))),14)</f>
        <v>14</v>
      </c>
      <c r="D16" s="17"/>
      <c r="E16" s="17"/>
      <c r="F16" s="17"/>
      <c r="G16" s="17"/>
    </row>
    <row r="17" spans="1:7" ht="19.5" customHeight="1" x14ac:dyDescent="0.25">
      <c r="A17" s="17"/>
      <c r="B17" s="48" t="s">
        <v>135</v>
      </c>
      <c r="C17" s="50">
        <v>3.7</v>
      </c>
      <c r="D17" s="17"/>
      <c r="E17" s="17"/>
      <c r="F17" s="17"/>
      <c r="G17" s="17"/>
    </row>
    <row r="18" spans="1:7" ht="19.5" customHeight="1" x14ac:dyDescent="0.25">
      <c r="A18" s="17"/>
      <c r="B18" s="48" t="s">
        <v>136</v>
      </c>
      <c r="C18" s="58">
        <f>IFERROR(VLOOKUP(C16,Lookup!B:C,2,0),31)</f>
        <v>31</v>
      </c>
      <c r="D18" s="17"/>
      <c r="E18" s="17"/>
      <c r="F18" s="17"/>
      <c r="G18" s="17"/>
    </row>
    <row r="19" spans="1:7" ht="19.5" customHeight="1" x14ac:dyDescent="0.25">
      <c r="A19" s="17"/>
      <c r="B19" s="17"/>
      <c r="C19" s="17"/>
      <c r="D19" s="17"/>
      <c r="E19" s="17"/>
      <c r="F19" s="17"/>
      <c r="G19" s="17"/>
    </row>
    <row r="20" spans="1:7" ht="19.5" customHeight="1" x14ac:dyDescent="0.25">
      <c r="A20" s="17"/>
      <c r="B20" s="6" t="s">
        <v>137</v>
      </c>
      <c r="C20" s="6"/>
      <c r="D20" s="6"/>
      <c r="E20" s="6"/>
      <c r="F20" s="6"/>
      <c r="G20" s="17"/>
    </row>
    <row r="21" spans="1:7" ht="19.5" customHeight="1" x14ac:dyDescent="0.25">
      <c r="A21" s="17"/>
      <c r="B21" s="48" t="s">
        <v>138</v>
      </c>
      <c r="C21" s="59">
        <f>(2^C6/C7/1000)*1000</f>
        <v>32.768000000000001</v>
      </c>
      <c r="D21" s="17"/>
      <c r="E21" s="48" t="s">
        <v>139</v>
      </c>
      <c r="F21" s="59">
        <f>(C9+4.25)*C21</f>
        <v>401.40800000000002</v>
      </c>
      <c r="G21" s="17"/>
    </row>
    <row r="22" spans="1:7" ht="19.5" customHeight="1" x14ac:dyDescent="0.25">
      <c r="A22" s="17"/>
      <c r="B22" s="48" t="s">
        <v>140</v>
      </c>
      <c r="C22" s="60">
        <f>8+MAX(CEILING((8*C10-4*C6+28+16*C11-20*IF(C6=6,1,(1-C12)))/(4*(C6-2*C15)),1)*(C8-4+4),0)</f>
        <v>26</v>
      </c>
      <c r="D22" s="17"/>
      <c r="E22" s="48" t="s">
        <v>141</v>
      </c>
      <c r="F22" s="59">
        <f>C22*C21</f>
        <v>851.96800000000007</v>
      </c>
      <c r="G22" s="17"/>
    </row>
    <row r="23" spans="1:7" ht="19.5" customHeight="1" x14ac:dyDescent="0.25">
      <c r="A23" s="17"/>
      <c r="B23" s="55"/>
      <c r="C23" s="61"/>
      <c r="D23" s="17"/>
      <c r="E23" s="55"/>
      <c r="F23" s="61"/>
      <c r="G23" s="17"/>
    </row>
    <row r="24" spans="1:7" ht="31.5" customHeight="1" x14ac:dyDescent="0.25">
      <c r="A24" s="17"/>
      <c r="B24" s="6" t="s">
        <v>142</v>
      </c>
      <c r="C24" s="6"/>
      <c r="D24" s="17"/>
      <c r="E24" s="5">
        <f>F21+F22</f>
        <v>1253.3760000000002</v>
      </c>
      <c r="F24" s="5"/>
      <c r="G24" s="17"/>
    </row>
    <row r="25" spans="1:7" ht="19.5" customHeight="1" x14ac:dyDescent="0.25">
      <c r="A25" s="17"/>
      <c r="B25" s="48" t="s">
        <v>143</v>
      </c>
      <c r="C25" s="62">
        <f>C6*(4/(4+(C8-4)))*C7*1000/2^C6/1000</f>
        <v>0.244140625</v>
      </c>
      <c r="D25" s="17"/>
      <c r="E25" s="48" t="s">
        <v>144</v>
      </c>
      <c r="F25" s="59">
        <f>C21</f>
        <v>32.768000000000001</v>
      </c>
      <c r="G25" s="17"/>
    </row>
    <row r="26" spans="1:7" ht="19.5" customHeight="1" x14ac:dyDescent="0.25">
      <c r="A26" s="17"/>
      <c r="B26" s="55"/>
      <c r="C26" s="17"/>
      <c r="D26" s="17"/>
      <c r="E26" s="63"/>
      <c r="F26" s="17"/>
      <c r="G26" s="17"/>
    </row>
    <row r="27" spans="1:7" ht="19.5" customHeight="1" x14ac:dyDescent="0.25">
      <c r="A27" s="17"/>
      <c r="B27" s="6" t="s">
        <v>145</v>
      </c>
      <c r="C27" s="6"/>
      <c r="D27" s="6"/>
      <c r="E27" s="6"/>
      <c r="F27" s="6"/>
      <c r="G27" s="17"/>
    </row>
    <row r="28" spans="1:7" ht="19.5" customHeight="1" x14ac:dyDescent="0.25">
      <c r="A28" s="17"/>
      <c r="B28" s="48" t="s">
        <v>146</v>
      </c>
      <c r="C28" s="64">
        <f>C18/1000*C17*(E24/1000)*1000</f>
        <v>143.76222720000004</v>
      </c>
      <c r="D28" s="17"/>
      <c r="E28" s="48" t="s">
        <v>147</v>
      </c>
      <c r="F28" s="64">
        <f>C18*(E24/1000)/3.6</f>
        <v>10.792960000000001</v>
      </c>
      <c r="G28" s="17"/>
    </row>
    <row r="29" spans="1:7" ht="19.5" customHeight="1" x14ac:dyDescent="0.25">
      <c r="A29" s="17"/>
      <c r="B29" s="48" t="s">
        <v>148</v>
      </c>
      <c r="C29" s="62">
        <f>60/F8</f>
        <v>4</v>
      </c>
      <c r="D29" s="17"/>
      <c r="E29" s="48" t="s">
        <v>149</v>
      </c>
      <c r="F29" s="65">
        <f>C29*24</f>
        <v>96</v>
      </c>
      <c r="G29" s="17"/>
    </row>
    <row r="30" spans="1:7" ht="19.5" customHeight="1" x14ac:dyDescent="0.25">
      <c r="A30" s="17"/>
      <c r="B30" s="48" t="s">
        <v>150</v>
      </c>
      <c r="C30" s="59">
        <f>(F28/1000)*F29</f>
        <v>1.03612416</v>
      </c>
      <c r="D30" s="17"/>
      <c r="E30" s="51" t="s">
        <v>151</v>
      </c>
      <c r="F30" s="66">
        <f>IF(C30&gt;0,F9/C30/365,9999)</f>
        <v>5.2884125921689931</v>
      </c>
      <c r="G30" s="17"/>
    </row>
    <row r="31" spans="1:7" ht="19.5" customHeight="1" x14ac:dyDescent="0.25">
      <c r="A31" s="17"/>
      <c r="B31" s="55"/>
      <c r="C31" s="67"/>
      <c r="D31" s="17"/>
      <c r="E31" s="55"/>
      <c r="F31" s="61"/>
      <c r="G31" s="17"/>
    </row>
    <row r="32" spans="1:7" ht="19.5" customHeight="1" x14ac:dyDescent="0.25">
      <c r="A32" s="17"/>
      <c r="B32" s="6" t="s">
        <v>152</v>
      </c>
      <c r="C32" s="6"/>
      <c r="D32" s="6"/>
      <c r="E32" s="6"/>
      <c r="F32" s="6"/>
      <c r="G32" s="17"/>
    </row>
    <row r="33" spans="1:7" ht="19.5" customHeight="1" x14ac:dyDescent="0.25">
      <c r="A33" s="17"/>
      <c r="B33" s="48" t="s">
        <v>153</v>
      </c>
      <c r="C33" s="68">
        <f>IF(F6=1,(E24/3600000)*100,"")</f>
        <v>3.4816000000000007E-2</v>
      </c>
      <c r="D33" s="17"/>
      <c r="E33" s="48" t="s">
        <v>154</v>
      </c>
      <c r="F33" s="69">
        <f>IF(F6=1,C33*C29,"")</f>
        <v>0.13926400000000003</v>
      </c>
      <c r="G33" s="17"/>
    </row>
    <row r="34" spans="1:7" ht="19.5" customHeight="1" x14ac:dyDescent="0.25">
      <c r="A34" s="17"/>
      <c r="B34" s="48" t="s">
        <v>155</v>
      </c>
      <c r="C34" s="70">
        <f>IF(F6=1,F33/(IFERROR(VLOOKUP($F$7,Lookup!$B$19:$E$22,4,0),1))*100,"")</f>
        <v>13.926400000000003</v>
      </c>
      <c r="D34" s="17"/>
      <c r="E34" s="48" t="s">
        <v>156</v>
      </c>
      <c r="F34" s="60">
        <f>IF(F6=1,INT((IFERROR(VLOOKUP($F$7,Lookup!$B$19:$E$22,4,0),1)/100*3600000)/E24),"")</f>
        <v>28</v>
      </c>
      <c r="G34" s="17"/>
    </row>
    <row r="35" spans="1:7" ht="19.5" customHeight="1" x14ac:dyDescent="0.25">
      <c r="A35" s="17"/>
      <c r="B35" s="48" t="s">
        <v>157</v>
      </c>
      <c r="C35" s="70">
        <f>IF(F6=1,E24/((IFERROR(VLOOKUP($F$7,Lookup!$B$19:$E$22,4,0),1))/100)/1000,"")</f>
        <v>125.33760000000002</v>
      </c>
      <c r="D35" s="17"/>
      <c r="E35" s="48" t="s">
        <v>158</v>
      </c>
      <c r="F35" s="71" t="str">
        <f>IF(F6=2,IF(E24&lt;=400,"✓  COMPLIANT","✗  EXCEEDS 400 ms LIMIT"),"")</f>
        <v/>
      </c>
      <c r="G35" s="17"/>
    </row>
    <row r="36" spans="1:7" ht="19.5" customHeight="1" x14ac:dyDescent="0.25">
      <c r="A36" s="17"/>
      <c r="B36" s="55"/>
      <c r="C36" s="72"/>
      <c r="D36" s="17"/>
      <c r="E36" s="55"/>
      <c r="F36" s="73"/>
      <c r="G36" s="17"/>
    </row>
    <row r="37" spans="1:7" ht="30" customHeight="1" x14ac:dyDescent="0.25">
      <c r="A37" s="17"/>
      <c r="B37" s="6" t="s">
        <v>159</v>
      </c>
      <c r="C37" s="6"/>
      <c r="D37" s="17"/>
      <c r="E37" s="4" t="str">
        <f>IF(F6=1,IF(F33&lt;=IFERROR(VLOOKUP($F$7,Lookup!$B$19:$E$22,4,0),1),"✓  EU COMPLIANT","✗  EU DUTY CYCLE BREACH — reduce TX rate or switch sub-band"),IF(E24&lt;=400,"✓  US COMPLIANT","✗  US DWELL BREACH — reduce SF or increase BW"))</f>
        <v>✓  EU COMPLIANT</v>
      </c>
      <c r="F37" s="4"/>
      <c r="G37" s="17"/>
    </row>
    <row r="38" spans="1:7" ht="19.5" customHeight="1" x14ac:dyDescent="0.25">
      <c r="A38" s="17"/>
      <c r="B38" s="55"/>
      <c r="C38" s="74"/>
      <c r="D38" s="17"/>
      <c r="E38" s="55"/>
      <c r="F38" s="61"/>
      <c r="G38" s="17"/>
    </row>
    <row r="39" spans="1:7" ht="27.75" customHeight="1" x14ac:dyDescent="0.25">
      <c r="A39" s="17"/>
      <c r="B39" s="3" t="s">
        <v>160</v>
      </c>
      <c r="C39" s="3"/>
      <c r="D39" s="3"/>
      <c r="E39" s="3"/>
      <c r="F39" s="3"/>
      <c r="G39" s="17"/>
    </row>
    <row r="40" spans="1:7" ht="7.5" customHeight="1" x14ac:dyDescent="0.25">
      <c r="A40" s="17"/>
      <c r="B40" s="55"/>
      <c r="C40" s="17"/>
      <c r="D40" s="17"/>
      <c r="E40" s="61"/>
      <c r="F40" s="17"/>
      <c r="G40" s="17"/>
    </row>
    <row r="41" spans="1:7" ht="19.5" customHeight="1" x14ac:dyDescent="0.25">
      <c r="A41" s="15"/>
      <c r="B41" s="11" t="s">
        <v>161</v>
      </c>
      <c r="C41" s="11"/>
      <c r="D41" s="11"/>
      <c r="E41" s="11"/>
      <c r="F41" s="11"/>
      <c r="G41" s="15"/>
    </row>
    <row r="42" spans="1:7" ht="27.75" customHeight="1" x14ac:dyDescent="0.25">
      <c r="A42" s="15"/>
      <c r="B42" s="2" t="s">
        <v>162</v>
      </c>
      <c r="C42" s="2"/>
      <c r="D42" s="2"/>
      <c r="E42" s="2"/>
      <c r="F42" s="2"/>
      <c r="G42" s="15"/>
    </row>
    <row r="43" spans="1:7" ht="18" customHeight="1" x14ac:dyDescent="0.25">
      <c r="A43" s="15"/>
      <c r="B43" s="18" t="s">
        <v>163</v>
      </c>
      <c r="C43" s="18" t="s">
        <v>164</v>
      </c>
      <c r="D43" s="15"/>
      <c r="E43" s="75" t="s">
        <v>165</v>
      </c>
      <c r="F43" s="75" t="s">
        <v>166</v>
      </c>
      <c r="G43" s="15"/>
    </row>
    <row r="44" spans="1:7" ht="21.75" customHeight="1" x14ac:dyDescent="0.25">
      <c r="A44" s="15"/>
      <c r="B44" s="51" t="s">
        <v>167</v>
      </c>
      <c r="C44" s="76">
        <f>E24/0.01/1000</f>
        <v>125.33760000000002</v>
      </c>
      <c r="D44" s="15"/>
      <c r="E44" s="77">
        <f>E24/0.1/1000</f>
        <v>12.533760000000003</v>
      </c>
      <c r="F44" s="78" t="str">
        <f>TEXT(C44/E44,"0.0")&amp;"×"</f>
        <v>10.0×</v>
      </c>
      <c r="G44" s="15"/>
    </row>
    <row r="45" spans="1:7" ht="21.75" customHeight="1" x14ac:dyDescent="0.25">
      <c r="A45" s="15"/>
      <c r="B45" s="51" t="s">
        <v>168</v>
      </c>
      <c r="C45" s="79">
        <f>INT(3600/C44)</f>
        <v>28</v>
      </c>
      <c r="D45" s="15"/>
      <c r="E45" s="80">
        <f>INT(3600/E44)</f>
        <v>287</v>
      </c>
      <c r="F45" s="81" t="str">
        <f>TEXT(E45/C45,"0.0")&amp;"×"</f>
        <v>10.3×</v>
      </c>
      <c r="G45" s="15"/>
    </row>
    <row r="46" spans="1:7" ht="24" customHeight="1" x14ac:dyDescent="0.25">
      <c r="A46" s="15"/>
      <c r="B46" s="2" t="s">
        <v>169</v>
      </c>
      <c r="C46" s="2"/>
      <c r="D46" s="2"/>
      <c r="E46" s="2"/>
      <c r="F46" s="2"/>
      <c r="G46" s="15"/>
    </row>
    <row r="47" spans="1:7" ht="7.5" customHeight="1" x14ac:dyDescent="0.25">
      <c r="A47" s="15"/>
      <c r="G47" s="15"/>
    </row>
    <row r="48" spans="1:7" ht="21.75" customHeight="1" x14ac:dyDescent="0.25">
      <c r="A48" s="15"/>
      <c r="B48" s="11" t="s">
        <v>170</v>
      </c>
      <c r="C48" s="11"/>
      <c r="D48" s="11"/>
      <c r="E48" s="11"/>
      <c r="F48" s="11"/>
      <c r="G48" s="15"/>
    </row>
    <row r="49" spans="1:7" ht="21.75" customHeight="1" x14ac:dyDescent="0.25">
      <c r="A49" s="15"/>
      <c r="B49" s="51" t="s">
        <v>171</v>
      </c>
      <c r="C49" s="1" t="str">
        <f>IF(NOT(AND($F$6=1,$C$7=500,$F$7="g3")),"✓  OK — BW valid for selected sub-band",IF(AND($F$6=1,$C$7=500,$F$7="g3"),"✗  VIOLATION: BW500 cannot fit in g3 (250 kHz slice). Use BW125 or switch sub-band.",""))</f>
        <v>✓  OK — BW valid for selected sub-band</v>
      </c>
      <c r="D49" s="1"/>
      <c r="E49" s="1"/>
      <c r="F49" s="1"/>
      <c r="G49" s="15"/>
    </row>
    <row r="50" spans="1:7" ht="21.75" customHeight="1" x14ac:dyDescent="0.25">
      <c r="A50" s="15"/>
      <c r="B50" s="51" t="s">
        <v>172</v>
      </c>
      <c r="C50" s="1" t="str">
        <f>IF(NOT(AND($F$6=1,$C$7=250,$F$7="g3")),"✓  OK",IF(AND($F$6=1,$C$7=250,$F$7="g3"),"⚠  CAUTION: BW250 fills entire g3 slice (250 kHz). No frequency margin — use BW125.",""))</f>
        <v>✓  OK</v>
      </c>
      <c r="D50" s="1"/>
      <c r="E50" s="1"/>
      <c r="F50" s="1"/>
      <c r="G50" s="15"/>
    </row>
    <row r="51" spans="1:7" ht="21.75" customHeight="1" x14ac:dyDescent="0.25">
      <c r="A51" s="15"/>
      <c r="B51" s="51" t="s">
        <v>173</v>
      </c>
      <c r="C51" s="1" t="str">
        <f>IF(NOT(AND($F$6=1,$C$16&gt;14)),"✓  Within EU EIRP limit (≤14 dBm)",IF(AND($F$6=1,$C$16&gt;14),"✗  VIOLATION: EU EIRP limit is 14 dBm (25 mW) for all sub-bands. Reduce TX Power.",""))</f>
        <v>✓  Within EU EIRP limit (≤14 dBm)</v>
      </c>
      <c r="D51" s="1"/>
      <c r="E51" s="1"/>
      <c r="F51" s="1"/>
      <c r="G51" s="15"/>
    </row>
    <row r="52" spans="1:7" ht="21.75" customHeight="1" x14ac:dyDescent="0.25">
      <c r="A52" s="15"/>
      <c r="B52" s="51" t="s">
        <v>174</v>
      </c>
      <c r="C52" s="1" t="str">
        <f>IF($C$16&lt;20,"✓  No hardware duty cycle restriction at this power level",IF($C$16=20,"⚠  CAUTION: +20 dBm is duty-cycle limited to 1% max on RFM95W (Table 33, DC_20dBm).",""))</f>
        <v>✓  No hardware duty cycle restriction at this power level</v>
      </c>
      <c r="D52" s="1"/>
      <c r="E52" s="1"/>
      <c r="F52" s="1"/>
      <c r="G52" s="15"/>
    </row>
    <row r="53" spans="1:7" ht="21.75" customHeight="1" x14ac:dyDescent="0.25">
      <c r="A53" s="15"/>
      <c r="B53" s="51" t="s">
        <v>175</v>
      </c>
      <c r="C53" s="1" t="str">
        <f>IF(NOT(AND($F$6=2,$E$24&gt;400)),"✓  ToA within 400 ms dwell limit (or EU region — not applicable)",IF(AND($F$6=2,$E$24&gt;400),"✗  VIOLATION: ToA exceeds 400 ms FCC dwell limit. Reduce SF, BW500, or reduce payload.",""))</f>
        <v>✓  ToA within 400 ms dwell limit (or EU region — not applicable)</v>
      </c>
      <c r="D53" s="1"/>
      <c r="E53" s="1"/>
      <c r="F53" s="1"/>
      <c r="G53" s="15"/>
    </row>
    <row r="54" spans="1:7" ht="21.75" customHeight="1" x14ac:dyDescent="0.25">
      <c r="A54" s="15"/>
      <c r="B54" s="51" t="s">
        <v>176</v>
      </c>
      <c r="C54" s="1" t="str">
        <f>IF(NOT(AND($F$6=1,$F$7="g2")),"✓  Sub-band OK for sensor deployment",IF(AND($F$6=1,$F$7="g2"),"⚠  CAUTION: g2 duty cycle is 0.1% — extremely restrictive. Avoid for regular sensor TX.",""))</f>
        <v>✓  Sub-band OK for sensor deployment</v>
      </c>
      <c r="D54" s="1"/>
      <c r="E54" s="1"/>
      <c r="F54" s="1"/>
      <c r="G54" s="15"/>
    </row>
    <row r="55" spans="1:7" ht="21.75" customHeight="1" x14ac:dyDescent="0.25">
      <c r="A55" s="15"/>
      <c r="B55" s="51" t="s">
        <v>177</v>
      </c>
      <c r="C55" s="1" t="str">
        <f>IF($C$9&gt;=8,"✓  Preamble ≥ 8 symbols (LoRaWAN minimum)",IF($C$9&lt;8,"⚠  CAUTION: Preamble &lt; 8 symbols risks sync failures. LoRaWAN minimum is 8.",""))</f>
        <v>✓  Preamble ≥ 8 symbols (LoRaWAN minimum)</v>
      </c>
      <c r="D55" s="1"/>
      <c r="E55" s="1"/>
      <c r="F55" s="1"/>
      <c r="G55" s="15"/>
    </row>
    <row r="56" spans="1:7" ht="43.5" customHeight="1" x14ac:dyDescent="0.25">
      <c r="B56" s="82" t="s">
        <v>178</v>
      </c>
      <c r="C56" s="138" t="str">
        <f>IF(NOT(AND($C$6=6,$C$12=1)),"✓  OK","✗  VIOLATION: SF6 requires implicit header mode on SX1276/RFM95W. Set Explicit Header (C12) to 0. Ensure both sensor and brain have payload length hardcoded in firmware.")</f>
        <v>✓  OK</v>
      </c>
      <c r="D56" s="138"/>
      <c r="E56" s="138"/>
      <c r="F56" s="138"/>
    </row>
    <row r="57" spans="1:7" ht="24" customHeight="1" x14ac:dyDescent="0.25">
      <c r="A57" s="15"/>
      <c r="B57" s="3" t="s">
        <v>179</v>
      </c>
      <c r="C57" s="3"/>
      <c r="D57" s="3"/>
      <c r="E57" s="3"/>
      <c r="F57" s="3"/>
      <c r="G57" s="15"/>
    </row>
    <row r="58" spans="1:7" ht="21.75" customHeight="1" x14ac:dyDescent="0.25"/>
    <row r="59" spans="1:7" ht="30" customHeight="1" x14ac:dyDescent="0.25"/>
    <row r="60" spans="1:7" ht="18" customHeight="1" x14ac:dyDescent="0.25"/>
    <row r="61" spans="1:7" ht="18" customHeight="1" x14ac:dyDescent="0.25"/>
    <row r="62" spans="1:7" ht="18" customHeight="1" x14ac:dyDescent="0.25"/>
    <row r="63" spans="1:7" ht="18" customHeight="1" x14ac:dyDescent="0.25"/>
    <row r="64" spans="1:7"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sheetData>
  <mergeCells count="26">
    <mergeCell ref="B57:F57"/>
    <mergeCell ref="C52:F52"/>
    <mergeCell ref="C53:F53"/>
    <mergeCell ref="C54:F54"/>
    <mergeCell ref="C55:F55"/>
    <mergeCell ref="C56:F56"/>
    <mergeCell ref="B46:F46"/>
    <mergeCell ref="B48:F48"/>
    <mergeCell ref="C49:F49"/>
    <mergeCell ref="C50:F50"/>
    <mergeCell ref="C51:F51"/>
    <mergeCell ref="B37:C37"/>
    <mergeCell ref="E37:F37"/>
    <mergeCell ref="B39:F39"/>
    <mergeCell ref="B41:F41"/>
    <mergeCell ref="B42:F42"/>
    <mergeCell ref="B20:F20"/>
    <mergeCell ref="B24:C24"/>
    <mergeCell ref="E24:F24"/>
    <mergeCell ref="B27:F27"/>
    <mergeCell ref="B32:F32"/>
    <mergeCell ref="A1:G2"/>
    <mergeCell ref="A3:G3"/>
    <mergeCell ref="E4:F4"/>
    <mergeCell ref="B5:C5"/>
    <mergeCell ref="E5:F5"/>
  </mergeCells>
  <conditionalFormatting sqref="B33:B35">
    <cfRule type="expression" dxfId="27" priority="11">
      <formula>$F$6=2</formula>
    </cfRule>
  </conditionalFormatting>
  <conditionalFormatting sqref="C33:C35">
    <cfRule type="expression" dxfId="26" priority="16">
      <formula>$F$6=2</formula>
    </cfRule>
  </conditionalFormatting>
  <conditionalFormatting sqref="C49:F49">
    <cfRule type="expression" dxfId="25" priority="22">
      <formula>NOT(AND($F$6=1,$C$7=500,$F$7="g3"))</formula>
    </cfRule>
    <cfRule type="expression" dxfId="24" priority="23">
      <formula>AND($F$6=1,$C$7=500,$F$7="g3")</formula>
    </cfRule>
  </conditionalFormatting>
  <conditionalFormatting sqref="C50:F50">
    <cfRule type="expression" dxfId="23" priority="25">
      <formula>AND($F$6=1,$C$7=250,$F$7="g3")</formula>
    </cfRule>
    <cfRule type="expression" dxfId="22" priority="24">
      <formula>NOT(AND($F$6=1,$C$7=250,$F$7="g3"))</formula>
    </cfRule>
  </conditionalFormatting>
  <conditionalFormatting sqref="C51:F51">
    <cfRule type="expression" dxfId="21" priority="27">
      <formula>AND($F$6=1,$C$16&gt;14)</formula>
    </cfRule>
    <cfRule type="expression" dxfId="20" priority="26">
      <formula>NOT(AND($F$6=1,$C$16&gt;14))</formula>
    </cfRule>
  </conditionalFormatting>
  <conditionalFormatting sqref="C52:F52">
    <cfRule type="expression" dxfId="19" priority="29">
      <formula>$C$16=20</formula>
    </cfRule>
    <cfRule type="expression" dxfId="18" priority="28">
      <formula>$C$16&lt;20</formula>
    </cfRule>
  </conditionalFormatting>
  <conditionalFormatting sqref="C53:F53">
    <cfRule type="expression" dxfId="17" priority="31">
      <formula>AND($F$6=2,$E$24&gt;400)</formula>
    </cfRule>
    <cfRule type="expression" dxfId="16" priority="30">
      <formula>NOT(AND($F$6=2,$E$24&gt;400))</formula>
    </cfRule>
  </conditionalFormatting>
  <conditionalFormatting sqref="C54:F54">
    <cfRule type="expression" dxfId="15" priority="33">
      <formula>AND($F$6=1,$F$7="g2")</formula>
    </cfRule>
    <cfRule type="expression" dxfId="14" priority="32">
      <formula>NOT(AND($F$6=1,$F$7="g2"))</formula>
    </cfRule>
  </conditionalFormatting>
  <conditionalFormatting sqref="C55:F55">
    <cfRule type="expression" dxfId="13" priority="35">
      <formula>$C$9&lt;8</formula>
    </cfRule>
    <cfRule type="expression" dxfId="12" priority="34">
      <formula>$C$9&gt;=8</formula>
    </cfRule>
  </conditionalFormatting>
  <conditionalFormatting sqref="E7">
    <cfRule type="expression" dxfId="11" priority="2">
      <formula>$F$6=2</formula>
    </cfRule>
  </conditionalFormatting>
  <conditionalFormatting sqref="E33:E34">
    <cfRule type="expression" dxfId="10" priority="14">
      <formula>$F$6=2</formula>
    </cfRule>
  </conditionalFormatting>
  <conditionalFormatting sqref="E35">
    <cfRule type="expression" dxfId="9" priority="21">
      <formula>$F$6=1</formula>
    </cfRule>
  </conditionalFormatting>
  <conditionalFormatting sqref="E37:F37">
    <cfRule type="expression" dxfId="8" priority="7">
      <formula>AND($F$6=2,$E$24&gt;400)</formula>
    </cfRule>
    <cfRule type="expression" dxfId="7" priority="6">
      <formula>AND($F$6=2,$E$24&lt;=400)</formula>
    </cfRule>
  </conditionalFormatting>
  <conditionalFormatting sqref="F7">
    <cfRule type="expression" dxfId="4" priority="3">
      <formula>$F$6=2</formula>
    </cfRule>
  </conditionalFormatting>
  <conditionalFormatting sqref="F33:F34">
    <cfRule type="expression" dxfId="3" priority="17">
      <formula>$F$6=2</formula>
    </cfRule>
  </conditionalFormatting>
  <conditionalFormatting sqref="F35">
    <cfRule type="expression" dxfId="2" priority="10">
      <formula>$F$6=1</formula>
    </cfRule>
    <cfRule type="expression" dxfId="1" priority="9">
      <formula>AND($F$6=2,$E$24&gt;400)</formula>
    </cfRule>
    <cfRule type="expression" dxfId="0" priority="8">
      <formula>AND($F$6=2,$E$24&lt;=400)</formula>
    </cfRule>
  </conditionalFormatting>
  <dataValidations count="7">
    <dataValidation type="list" showInputMessage="1" showErrorMessage="1" errorTitle="Invalid value" error="Select 125, 250, or 500 kHz" promptTitle="Select value" prompt="Bandwidth — narrower = longer range but slower" sqref="C7" xr:uid="{00000000-0002-0000-0100-000000000000}">
      <formula1>"125,250,500"</formula1>
      <formula2>0</formula2>
    </dataValidation>
    <dataValidation type="list" showInputMessage="1" showErrorMessage="1" errorTitle="Invalid value" error="Select 5, 6, 7, or 8" promptTitle="Select value" prompt="Coding Rate denominator — 4/5 to 4/8" sqref="C8" xr:uid="{00000000-0002-0000-0100-000001000000}">
      <formula1>"5,6,7,8"</formula1>
      <formula2>0</formula2>
    </dataValidation>
    <dataValidation type="list" showInputMessage="1" showErrorMessage="1" errorTitle="Invalid value" error="0 = disabled, 1 = enabled" promptTitle="Select value" prompt="CRC — 1=enabled (recommended)" sqref="C11" xr:uid="{00000000-0002-0000-0100-000002000000}">
      <formula1>"0,1"</formula1>
      <formula2>0</formula2>
    </dataValidation>
    <dataValidation type="list" showInputMessage="1" showErrorMessage="1" errorTitle="Invalid value" error="0 = Implicit, 1 = Explicit" promptTitle="Select value" prompt="Header mode — 1=Explicit (recommended for variable payload)" sqref="C12" xr:uid="{00000000-0002-0000-0100-000003000000}">
      <formula1>"0,1"</formula1>
      <formula2>0</formula2>
    </dataValidation>
    <dataValidation type="list" showInputMessage="1" showErrorMessage="1" errorTitle="Invalid value" error="0 = off, 1 = on" promptTitle="Select value" prompt="LDRO manual override — ignored when LDRO is required by spec" sqref="C14" xr:uid="{00000000-0002-0000-0100-000004000000}">
      <formula1>"0,1"</formula1>
      <formula2>0</formula2>
    </dataValidation>
    <dataValidation type="list" showInputMessage="1" showErrorMessage="1" errorTitle="Invalid value" error="1 = EU 868 MHz, 2 = US 915 MHz" promptTitle="Select value" prompt="Region — controls duty cycle (EU) vs dwell time (US) compliance check" sqref="F6" xr:uid="{00000000-0002-0000-0100-000005000000}">
      <formula1>"1,2"</formula1>
      <formula2>0</formula2>
    </dataValidation>
    <dataValidation type="list" showErrorMessage="1" errorTitle="Invalid SF" error="SF must be 6–12" sqref="C6" xr:uid="{00000000-0002-0000-0100-000009000000}">
      <formula1>"6,7,8,9,10,11,12"</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5" id="{00000000-000E-0000-0100-000005000000}">
            <xm:f>AND($F$6=1,F33&gt;IFERROR(VLOOKUP($F$7,Lookup!$B$19:$E$22,4,0),1))</xm:f>
            <x14:dxf>
              <font>
                <b/>
                <sz val="10"/>
                <color rgb="FFFFFFFF"/>
                <name val="Calibri"/>
                <charset val="1"/>
              </font>
              <fill>
                <patternFill>
                  <bgColor rgb="FFB71C1C"/>
                </patternFill>
              </fill>
            </x14:dxf>
          </x14:cfRule>
          <x14:cfRule type="expression" priority="4" id="{00000000-000E-0000-0100-000004000000}">
            <xm:f>AND($F$6=1,F33&lt;=IFERROR(VLOOKUP($F$7,Lookup!$B$19:$E$22,4,0),1))</xm:f>
            <x14:dxf>
              <font>
                <b/>
                <sz val="10"/>
                <color rgb="FFFFFFFF"/>
                <name val="Calibri"/>
                <charset val="1"/>
              </font>
              <fill>
                <patternFill>
                  <bgColor rgb="FF1B5E20"/>
                </patternFill>
              </fill>
            </x14:dxf>
          </x14:cfRule>
          <xm:sqref>E37:F37</xm:sqref>
        </x14:conditionalFormatting>
      </x14:conditionalFormattings>
    </ext>
    <ext xmlns:x14="http://schemas.microsoft.com/office/spreadsheetml/2009/9/main" uri="{CCE6A557-97BC-4b89-ADB6-D9C93CAAB3DF}">
      <x14:dataValidations xmlns:xm="http://schemas.microsoft.com/office/excel/2006/main" count="3">
        <x14:dataValidation type="list" showInputMessage="1" showErrorMessage="1" errorTitle="Invalid preset" error="Select a preset from the list" promptTitle="Active Preset" prompt="Select a preset — values auto-load below. Choose 'Custom' to edit freely on the Presets tab." xr:uid="{00000000-0002-0000-0100-000006000000}">
          <x14:formula1>
            <xm:f>Presets!$B$7:$B$11</xm:f>
          </x14:formula1>
          <x14:formula2>
            <xm:f>0</xm:f>
          </x14:formula2>
          <xm:sqref>C4</xm:sqref>
        </x14:dataValidation>
        <x14:dataValidation type="list" showInputMessage="1" promptTitle="EU Sub-band  (EU region only)" prompt="g=1%  g1=1%  g2=0.1%  g3=10% duty  ·  Greyed out when Region = US" xr:uid="{00000000-0002-0000-0100-000007000000}">
          <x14:formula1>
            <xm:f>Lookup!$B$19:$B$22</xm:f>
          </x14:formula1>
          <x14:formula2>
            <xm:f>0</xm:f>
          </x14:formula2>
          <xm:sqref>F7</xm:sqref>
        </x14:dataValidation>
        <x14:dataValidation type="list" allowBlank="1" promptTitle="TX Power (dBm)" prompt="Select TX power (dBm). Select cell to see current draw tooltip." xr:uid="{00000000-0002-0000-0100-000008000000}">
          <x14:formula1>
            <xm:f>Lookup!$B$7:$B$13</xm:f>
          </x14:formula1>
          <x14:formula2>
            <xm:f>0</xm:f>
          </x14:formula2>
          <xm:sqref>C16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565C0"/>
  </sheetPr>
  <dimension ref="A1:L29"/>
  <sheetViews>
    <sheetView showGridLines="0" zoomScaleNormal="100" workbookViewId="0"/>
  </sheetViews>
  <sheetFormatPr defaultColWidth="8.7109375" defaultRowHeight="15" x14ac:dyDescent="0.25"/>
  <cols>
    <col min="1" max="1" width="2" customWidth="1"/>
    <col min="2" max="2" width="22" customWidth="1"/>
    <col min="3" max="4" width="32" customWidth="1"/>
    <col min="5" max="5" width="10" customWidth="1"/>
    <col min="6" max="9" width="8" customWidth="1"/>
    <col min="10" max="10" width="10" customWidth="1"/>
    <col min="11" max="11" width="28" customWidth="1"/>
    <col min="12" max="12" width="2" customWidth="1"/>
  </cols>
  <sheetData>
    <row r="1" spans="1:12" ht="39.75" customHeight="1" x14ac:dyDescent="0.25">
      <c r="A1" s="9" t="s">
        <v>180</v>
      </c>
      <c r="B1" s="9"/>
      <c r="C1" s="9"/>
      <c r="D1" s="9"/>
      <c r="E1" s="9"/>
      <c r="F1" s="9"/>
      <c r="G1" s="9"/>
      <c r="H1" s="9"/>
      <c r="I1" s="9"/>
      <c r="J1" s="9"/>
      <c r="K1" s="9"/>
      <c r="L1" s="9"/>
    </row>
    <row r="2" spans="1:12" ht="3.75" customHeight="1" x14ac:dyDescent="0.25">
      <c r="A2" s="9"/>
      <c r="B2" s="9"/>
      <c r="C2" s="9"/>
      <c r="D2" s="9"/>
      <c r="E2" s="9"/>
      <c r="F2" s="9"/>
      <c r="G2" s="9"/>
      <c r="H2" s="9"/>
      <c r="I2" s="9"/>
      <c r="J2" s="9"/>
      <c r="K2" s="9"/>
      <c r="L2" s="9"/>
    </row>
    <row r="3" spans="1:12" ht="19.5" customHeight="1" x14ac:dyDescent="0.25">
      <c r="A3" s="8" t="s">
        <v>181</v>
      </c>
      <c r="B3" s="8"/>
      <c r="C3" s="8"/>
      <c r="D3" s="8"/>
      <c r="E3" s="8"/>
      <c r="F3" s="8"/>
      <c r="G3" s="8"/>
      <c r="H3" s="8"/>
      <c r="I3" s="8"/>
      <c r="J3" s="8"/>
      <c r="K3" s="8"/>
      <c r="L3" s="8"/>
    </row>
    <row r="4" spans="1:12" ht="19.5" customHeight="1" x14ac:dyDescent="0.25">
      <c r="A4" s="17"/>
      <c r="B4" s="61"/>
      <c r="C4" s="61"/>
      <c r="D4" s="61"/>
      <c r="E4" s="61"/>
      <c r="F4" s="61"/>
      <c r="G4" s="61"/>
      <c r="H4" s="61"/>
      <c r="I4" s="61"/>
      <c r="K4" s="61"/>
      <c r="L4" s="17"/>
    </row>
    <row r="5" spans="1:12" ht="19.5" customHeight="1" x14ac:dyDescent="0.25">
      <c r="A5" s="17"/>
      <c r="B5" s="11" t="s">
        <v>182</v>
      </c>
      <c r="C5" s="11"/>
      <c r="D5" s="11"/>
      <c r="E5" s="11"/>
      <c r="F5" s="11"/>
      <c r="G5" s="11"/>
      <c r="H5" s="11"/>
      <c r="I5" s="11"/>
      <c r="J5" s="11"/>
      <c r="K5" s="11"/>
      <c r="L5" s="17"/>
    </row>
    <row r="6" spans="1:12" ht="19.5" customHeight="1" x14ac:dyDescent="0.25">
      <c r="A6" s="17"/>
      <c r="B6" s="18" t="s">
        <v>183</v>
      </c>
      <c r="C6" s="18" t="s">
        <v>5</v>
      </c>
      <c r="D6" s="18" t="s">
        <v>184</v>
      </c>
      <c r="E6" s="18" t="s">
        <v>185</v>
      </c>
      <c r="F6" s="18" t="s">
        <v>186</v>
      </c>
      <c r="G6" s="18" t="s">
        <v>187</v>
      </c>
      <c r="H6" s="18" t="s">
        <v>188</v>
      </c>
      <c r="I6" s="18" t="s">
        <v>189</v>
      </c>
      <c r="J6" s="18" t="s">
        <v>190</v>
      </c>
      <c r="K6" s="18" t="s">
        <v>191</v>
      </c>
      <c r="L6" s="17"/>
    </row>
    <row r="7" spans="1:12" ht="19.5" customHeight="1" x14ac:dyDescent="0.25">
      <c r="A7" s="17"/>
      <c r="B7" s="83" t="s">
        <v>115</v>
      </c>
      <c r="C7" s="84" t="s">
        <v>192</v>
      </c>
      <c r="D7" s="85">
        <v>12</v>
      </c>
      <c r="E7" s="85">
        <v>125</v>
      </c>
      <c r="F7" s="85">
        <v>6</v>
      </c>
      <c r="G7" s="85">
        <v>12</v>
      </c>
      <c r="H7" s="52">
        <v>14</v>
      </c>
      <c r="I7" s="52">
        <v>20</v>
      </c>
      <c r="J7" s="86" t="s">
        <v>193</v>
      </c>
      <c r="K7" s="84" t="s">
        <v>194</v>
      </c>
      <c r="L7" s="17"/>
    </row>
    <row r="8" spans="1:12" ht="19.5" customHeight="1" x14ac:dyDescent="0.25">
      <c r="A8" s="17"/>
      <c r="B8" s="87" t="s">
        <v>195</v>
      </c>
      <c r="C8" s="88" t="s">
        <v>196</v>
      </c>
      <c r="D8" s="85">
        <v>12</v>
      </c>
      <c r="E8" s="85">
        <v>125</v>
      </c>
      <c r="F8" s="85">
        <v>6</v>
      </c>
      <c r="G8" s="85">
        <v>24</v>
      </c>
      <c r="H8" s="52">
        <v>14</v>
      </c>
      <c r="I8" s="52">
        <v>20</v>
      </c>
      <c r="J8" s="79" t="s">
        <v>193</v>
      </c>
      <c r="K8" s="88" t="s">
        <v>197</v>
      </c>
      <c r="L8" s="17"/>
    </row>
    <row r="9" spans="1:12" ht="19.5" customHeight="1" x14ac:dyDescent="0.25">
      <c r="A9" s="17"/>
      <c r="B9" s="83" t="s">
        <v>198</v>
      </c>
      <c r="C9" s="84" t="s">
        <v>199</v>
      </c>
      <c r="D9" s="85">
        <v>12</v>
      </c>
      <c r="E9" s="85">
        <v>125</v>
      </c>
      <c r="F9" s="85">
        <v>6</v>
      </c>
      <c r="G9" s="85">
        <v>8</v>
      </c>
      <c r="H9" s="52">
        <v>14</v>
      </c>
      <c r="I9" s="52">
        <v>20</v>
      </c>
      <c r="J9" s="86" t="s">
        <v>193</v>
      </c>
      <c r="K9" s="84" t="s">
        <v>200</v>
      </c>
      <c r="L9" s="17"/>
    </row>
    <row r="10" spans="1:12" ht="19.5" customHeight="1" x14ac:dyDescent="0.25">
      <c r="A10" s="17"/>
      <c r="B10" s="87" t="s">
        <v>201</v>
      </c>
      <c r="C10" s="88" t="s">
        <v>202</v>
      </c>
      <c r="D10" s="85">
        <v>12</v>
      </c>
      <c r="E10" s="85">
        <v>125</v>
      </c>
      <c r="F10" s="85">
        <v>6</v>
      </c>
      <c r="G10" s="85">
        <v>6</v>
      </c>
      <c r="H10" s="52">
        <v>14</v>
      </c>
      <c r="I10" s="52">
        <v>20</v>
      </c>
      <c r="J10" s="79" t="s">
        <v>193</v>
      </c>
      <c r="K10" s="88" t="s">
        <v>203</v>
      </c>
      <c r="L10" s="17"/>
    </row>
    <row r="11" spans="1:12" ht="19.5" customHeight="1" x14ac:dyDescent="0.25">
      <c r="A11" s="17"/>
      <c r="B11" s="83" t="s">
        <v>204</v>
      </c>
      <c r="C11" s="84" t="s">
        <v>205</v>
      </c>
      <c r="D11" s="52">
        <v>12</v>
      </c>
      <c r="E11" s="52">
        <v>125</v>
      </c>
      <c r="F11" s="52">
        <v>6</v>
      </c>
      <c r="G11" s="52">
        <v>12</v>
      </c>
      <c r="H11" s="52">
        <v>14</v>
      </c>
      <c r="I11" s="52">
        <v>20</v>
      </c>
      <c r="J11" s="86" t="s">
        <v>193</v>
      </c>
      <c r="K11" s="84" t="s">
        <v>206</v>
      </c>
      <c r="L11" s="17"/>
    </row>
    <row r="12" spans="1:12" ht="24" customHeight="1" x14ac:dyDescent="0.25">
      <c r="A12" s="17"/>
      <c r="B12" s="89" t="s">
        <v>207</v>
      </c>
      <c r="L12" s="17"/>
    </row>
    <row r="13" spans="1:12" ht="19.5" customHeight="1" x14ac:dyDescent="0.25">
      <c r="A13" s="17"/>
      <c r="B13" s="55"/>
      <c r="C13" s="17"/>
      <c r="D13" s="17"/>
      <c r="E13" s="17"/>
      <c r="F13" s="17"/>
      <c r="G13" s="17"/>
      <c r="H13" s="17"/>
      <c r="I13" s="17"/>
      <c r="J13" s="17"/>
      <c r="K13" s="17"/>
      <c r="L13" s="17"/>
    </row>
    <row r="14" spans="1:12" ht="19.5" customHeight="1" x14ac:dyDescent="0.25">
      <c r="A14" s="17"/>
      <c r="B14" s="57"/>
      <c r="C14" s="17"/>
      <c r="D14" s="17"/>
      <c r="E14" s="17"/>
      <c r="F14" s="17"/>
      <c r="G14" s="17"/>
      <c r="H14" s="17"/>
      <c r="I14" s="17"/>
      <c r="J14" s="17"/>
      <c r="K14" s="17"/>
      <c r="L14" s="17"/>
    </row>
    <row r="15" spans="1:12" ht="18" customHeight="1" x14ac:dyDescent="0.25">
      <c r="A15" s="17"/>
      <c r="B15" s="19"/>
      <c r="C15" s="19"/>
      <c r="D15" s="19"/>
      <c r="E15" s="19"/>
      <c r="F15" s="17"/>
      <c r="G15" s="17"/>
      <c r="H15" s="17"/>
      <c r="I15" s="17"/>
      <c r="J15" s="17"/>
      <c r="K15" s="19"/>
      <c r="L15" s="17"/>
    </row>
    <row r="16" spans="1:12" ht="19.5" customHeight="1" x14ac:dyDescent="0.25">
      <c r="A16" s="17"/>
      <c r="B16" s="61"/>
      <c r="C16" s="55"/>
      <c r="D16" s="61"/>
      <c r="E16" s="90"/>
      <c r="F16" s="17"/>
      <c r="G16" s="17"/>
      <c r="H16" s="17"/>
      <c r="I16" s="17"/>
      <c r="J16" s="17"/>
      <c r="K16" s="55"/>
      <c r="L16" s="17"/>
    </row>
    <row r="17" spans="1:12" ht="19.5" customHeight="1" x14ac:dyDescent="0.25">
      <c r="A17" s="17"/>
      <c r="B17" s="61"/>
      <c r="C17" s="55"/>
      <c r="D17" s="61"/>
      <c r="E17" s="90"/>
      <c r="F17" s="17"/>
      <c r="G17" s="17"/>
      <c r="H17" s="17"/>
      <c r="I17" s="17"/>
      <c r="J17" s="17"/>
      <c r="K17" s="55"/>
      <c r="L17" s="17"/>
    </row>
    <row r="18" spans="1:12" ht="19.5" customHeight="1" x14ac:dyDescent="0.25">
      <c r="A18" s="17"/>
      <c r="B18" s="61"/>
      <c r="C18" s="55"/>
      <c r="D18" s="61"/>
      <c r="E18" s="90"/>
      <c r="F18" s="17"/>
      <c r="G18" s="17"/>
      <c r="H18" s="17"/>
      <c r="I18" s="17"/>
      <c r="J18" s="17"/>
      <c r="K18" s="55"/>
      <c r="L18" s="17"/>
    </row>
    <row r="19" spans="1:12" ht="19.5" customHeight="1" x14ac:dyDescent="0.25">
      <c r="A19" s="17"/>
      <c r="B19" s="61"/>
      <c r="C19" s="55"/>
      <c r="D19" s="61"/>
      <c r="E19" s="90"/>
      <c r="F19" s="17"/>
      <c r="G19" s="17"/>
      <c r="H19" s="17"/>
      <c r="I19" s="17"/>
      <c r="J19" s="17"/>
      <c r="K19" s="55"/>
      <c r="L19" s="17"/>
    </row>
    <row r="20" spans="1:12" ht="19.5" customHeight="1" x14ac:dyDescent="0.25">
      <c r="A20" s="17"/>
      <c r="B20" s="61"/>
      <c r="C20" s="61"/>
      <c r="D20" s="61"/>
      <c r="E20" s="55"/>
      <c r="F20" s="17"/>
      <c r="G20" s="17"/>
      <c r="H20" s="17"/>
      <c r="I20" s="17"/>
      <c r="J20" s="17"/>
      <c r="K20" s="17"/>
      <c r="L20" s="17"/>
    </row>
    <row r="21" spans="1:12" ht="19.5" customHeight="1" x14ac:dyDescent="0.25">
      <c r="A21" s="17"/>
      <c r="B21" s="17"/>
      <c r="C21" s="17"/>
      <c r="D21" s="17"/>
      <c r="E21" s="17"/>
      <c r="F21" s="17"/>
      <c r="G21" s="17"/>
      <c r="H21" s="17"/>
      <c r="I21" s="17"/>
      <c r="J21" s="17"/>
      <c r="K21" s="17"/>
      <c r="L21" s="17"/>
    </row>
    <row r="22" spans="1:12" ht="19.5" customHeight="1" x14ac:dyDescent="0.25">
      <c r="A22" s="17"/>
      <c r="B22" s="17"/>
      <c r="C22" s="17"/>
      <c r="D22" s="17"/>
      <c r="E22" s="17"/>
      <c r="F22" s="17"/>
      <c r="G22" s="17"/>
      <c r="H22" s="17"/>
      <c r="I22" s="17"/>
      <c r="J22" s="17"/>
      <c r="K22" s="17"/>
      <c r="L22" s="17"/>
    </row>
    <row r="23" spans="1:12" ht="19.5" customHeight="1" x14ac:dyDescent="0.25">
      <c r="A23" s="17"/>
      <c r="B23" s="55"/>
      <c r="C23" s="17"/>
      <c r="D23" s="17"/>
      <c r="E23" s="17"/>
      <c r="F23" s="17"/>
      <c r="G23" s="17"/>
      <c r="H23" s="17"/>
      <c r="I23" s="17"/>
      <c r="K23" s="17"/>
      <c r="L23" s="17"/>
    </row>
    <row r="24" spans="1:12" ht="19.5" customHeight="1" x14ac:dyDescent="0.25">
      <c r="A24" s="17"/>
      <c r="B24" s="17"/>
      <c r="C24" s="17"/>
      <c r="D24" s="17"/>
      <c r="E24" s="17"/>
      <c r="F24" s="17"/>
      <c r="G24" s="17"/>
      <c r="H24" s="17"/>
      <c r="I24" s="17"/>
      <c r="K24" s="17"/>
      <c r="L24" s="17"/>
    </row>
    <row r="25" spans="1:12" ht="19.5" customHeight="1" x14ac:dyDescent="0.25">
      <c r="A25" s="17"/>
      <c r="B25" s="17"/>
      <c r="C25" s="17"/>
      <c r="D25" s="17"/>
      <c r="E25" s="17"/>
      <c r="F25" s="17"/>
      <c r="G25" s="17"/>
      <c r="H25" s="17"/>
      <c r="I25" s="17"/>
      <c r="K25" s="17"/>
      <c r="L25" s="17"/>
    </row>
    <row r="26" spans="1:12" ht="19.5" customHeight="1" x14ac:dyDescent="0.25">
      <c r="A26" s="17"/>
      <c r="B26" s="17"/>
      <c r="C26" s="17"/>
      <c r="D26" s="17"/>
      <c r="E26" s="17"/>
      <c r="F26" s="17"/>
      <c r="G26" s="17"/>
      <c r="H26" s="17"/>
      <c r="I26" s="17"/>
      <c r="K26" s="17"/>
      <c r="L26" s="17"/>
    </row>
    <row r="27" spans="1:12" ht="19.5" customHeight="1" x14ac:dyDescent="0.25">
      <c r="A27" s="17"/>
      <c r="B27" s="17"/>
      <c r="C27" s="17"/>
      <c r="D27" s="17"/>
      <c r="E27" s="17"/>
      <c r="F27" s="17"/>
      <c r="G27" s="17"/>
      <c r="H27" s="17"/>
      <c r="I27" s="17"/>
      <c r="K27" s="17"/>
      <c r="L27" s="17"/>
    </row>
    <row r="28" spans="1:12" ht="15" customHeight="1" x14ac:dyDescent="0.25">
      <c r="A28" s="17"/>
      <c r="B28" s="17"/>
      <c r="C28" s="17"/>
      <c r="D28" s="17"/>
      <c r="E28" s="17"/>
      <c r="F28" s="17"/>
      <c r="G28" s="17"/>
      <c r="H28" s="17"/>
      <c r="I28" s="17"/>
      <c r="K28" s="17"/>
      <c r="L28" s="17"/>
    </row>
    <row r="29" spans="1:12" ht="15" customHeight="1" x14ac:dyDescent="0.25">
      <c r="A29" s="17"/>
      <c r="B29" s="17"/>
      <c r="C29" s="17"/>
      <c r="D29" s="17"/>
      <c r="E29" s="17"/>
      <c r="F29" s="17"/>
      <c r="G29" s="17"/>
      <c r="H29" s="17"/>
      <c r="I29" s="17"/>
      <c r="K29" s="17"/>
      <c r="L29" s="17"/>
    </row>
  </sheetData>
  <mergeCells count="3">
    <mergeCell ref="A1:L2"/>
    <mergeCell ref="A3:L3"/>
    <mergeCell ref="B5:K5"/>
  </mergeCells>
  <dataValidations count="1">
    <dataValidation type="list" sqref="J11" xr:uid="{00000000-0002-0000-0200-000000000000}">
      <formula1>"EU,US,Both"</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promptTitle="EU TX Power (dBm)" prompt="2→19mA  5→20mA  8→23mA  11→25mA  14→32mA  17→87mA  20→120mA (20 dBm max — RFM95W. Duty cycle limited to 1% at 20 dBm.)" xr:uid="{00000000-0002-0000-0200-000001000000}">
          <x14:formula1>
            <xm:f>Lookup!$B$7:$B$13</xm:f>
          </x14:formula1>
          <x14:formula2>
            <xm:f>0</xm:f>
          </x14:formula2>
          <xm:sqref>H7:H11</xm:sqref>
        </x14:dataValidation>
        <x14:dataValidation type="list" allowBlank="1" promptTitle="US TX Power (dBm)" prompt="2→19mA  5→20mA  8→23mA  11→25mA  14→32mA  17→87mA  20→120mA (20 dBm max — RFM95W. Duty cycle limited to 1% at 20 dBm.)" xr:uid="{00000000-0002-0000-0200-000002000000}">
          <x14:formula1>
            <xm:f>Lookup!$B$7:$B$13</xm:f>
          </x14:formula1>
          <x14:formula2>
            <xm:f>0</xm:f>
          </x14:formula2>
          <xm:sqref>I7:I11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148C"/>
  </sheetPr>
  <dimension ref="A1:H129"/>
  <sheetViews>
    <sheetView showGridLines="0" zoomScaleNormal="100" workbookViewId="0"/>
  </sheetViews>
  <sheetFormatPr defaultColWidth="8.7109375" defaultRowHeight="15" x14ac:dyDescent="0.25"/>
  <cols>
    <col min="1" max="1" width="2" customWidth="1"/>
    <col min="2" max="2" width="24" customWidth="1"/>
    <col min="3" max="3" width="42" customWidth="1"/>
    <col min="4" max="4" width="2" customWidth="1"/>
    <col min="5" max="5" width="28" customWidth="1"/>
    <col min="6" max="6" width="36" customWidth="1"/>
    <col min="7" max="7" width="2" customWidth="1"/>
  </cols>
  <sheetData>
    <row r="1" spans="1:8" ht="39.75" customHeight="1" x14ac:dyDescent="0.25">
      <c r="A1" s="139" t="s">
        <v>208</v>
      </c>
      <c r="B1" s="139"/>
      <c r="C1" s="139"/>
      <c r="D1" s="139"/>
      <c r="E1" s="139"/>
      <c r="F1" s="139"/>
      <c r="G1" s="15"/>
      <c r="H1" s="15"/>
    </row>
    <row r="2" spans="1:8" ht="18" customHeight="1" x14ac:dyDescent="0.25">
      <c r="A2" s="140" t="s">
        <v>209</v>
      </c>
      <c r="B2" s="140"/>
      <c r="C2" s="140"/>
      <c r="D2" s="140"/>
      <c r="E2" s="140"/>
      <c r="F2" s="140"/>
      <c r="G2" s="15"/>
      <c r="H2" s="15"/>
    </row>
    <row r="3" spans="1:8" ht="6" customHeight="1" x14ac:dyDescent="0.25">
      <c r="A3" s="15"/>
      <c r="B3" s="15"/>
      <c r="C3" s="15"/>
      <c r="D3" s="15"/>
      <c r="E3" s="15"/>
      <c r="F3" s="15"/>
      <c r="G3" s="15"/>
      <c r="H3" s="15"/>
    </row>
    <row r="4" spans="1:8" ht="25.5" customHeight="1" x14ac:dyDescent="0.25">
      <c r="A4" s="141" t="s">
        <v>210</v>
      </c>
      <c r="B4" s="141"/>
      <c r="C4" s="141"/>
      <c r="D4" s="141"/>
      <c r="E4" s="141"/>
      <c r="F4" s="141"/>
      <c r="G4" s="15"/>
      <c r="H4" s="15"/>
    </row>
    <row r="5" spans="1:8" ht="18" customHeight="1" x14ac:dyDescent="0.25">
      <c r="A5" s="142" t="s">
        <v>211</v>
      </c>
      <c r="B5" s="142"/>
      <c r="C5" s="142"/>
      <c r="D5" s="142"/>
      <c r="E5" s="142"/>
      <c r="F5" s="142"/>
      <c r="G5" s="15"/>
      <c r="H5" s="15"/>
    </row>
    <row r="6" spans="1:8" ht="36" customHeight="1" x14ac:dyDescent="0.25">
      <c r="A6" s="143" t="s">
        <v>212</v>
      </c>
      <c r="B6" s="143"/>
      <c r="C6" s="143"/>
      <c r="D6" s="143"/>
      <c r="E6" s="143"/>
      <c r="F6" s="143"/>
      <c r="G6" s="15"/>
      <c r="H6" s="15"/>
    </row>
    <row r="7" spans="1:8" ht="18" customHeight="1" x14ac:dyDescent="0.25">
      <c r="A7" s="15"/>
      <c r="B7" s="18" t="s">
        <v>213</v>
      </c>
      <c r="C7" s="18" t="s">
        <v>214</v>
      </c>
      <c r="D7" s="15"/>
      <c r="E7" s="18" t="s">
        <v>215</v>
      </c>
      <c r="F7" s="18" t="s">
        <v>191</v>
      </c>
      <c r="G7" s="15"/>
      <c r="H7" s="15"/>
    </row>
    <row r="8" spans="1:8" ht="21.75" customHeight="1" x14ac:dyDescent="0.25">
      <c r="A8" s="15"/>
      <c r="B8" s="91" t="s">
        <v>216</v>
      </c>
      <c r="C8" s="92" t="s">
        <v>217</v>
      </c>
      <c r="D8" s="15"/>
      <c r="E8" s="91" t="s">
        <v>218</v>
      </c>
      <c r="F8" s="91" t="s">
        <v>219</v>
      </c>
      <c r="G8" s="15"/>
      <c r="H8" s="15"/>
    </row>
    <row r="9" spans="1:8" ht="21.75" customHeight="1" x14ac:dyDescent="0.25">
      <c r="A9" s="15"/>
      <c r="B9" s="93" t="s">
        <v>220</v>
      </c>
      <c r="C9" s="94" t="s">
        <v>217</v>
      </c>
      <c r="D9" s="15"/>
      <c r="E9" s="93" t="s">
        <v>221</v>
      </c>
      <c r="F9" s="93" t="s">
        <v>222</v>
      </c>
      <c r="G9" s="15"/>
      <c r="H9" s="15"/>
    </row>
    <row r="10" spans="1:8" ht="21.75" customHeight="1" x14ac:dyDescent="0.25">
      <c r="A10" s="15"/>
      <c r="B10" s="91" t="s">
        <v>223</v>
      </c>
      <c r="C10" s="92" t="s">
        <v>224</v>
      </c>
      <c r="D10" s="15"/>
      <c r="E10" s="91" t="s">
        <v>225</v>
      </c>
      <c r="F10" s="91" t="s">
        <v>226</v>
      </c>
      <c r="G10" s="15"/>
      <c r="H10" s="15"/>
    </row>
    <row r="11" spans="1:8" ht="21.75" customHeight="1" x14ac:dyDescent="0.25">
      <c r="A11" s="15"/>
      <c r="B11" s="93" t="s">
        <v>227</v>
      </c>
      <c r="C11" s="94" t="s">
        <v>228</v>
      </c>
      <c r="D11" s="15"/>
      <c r="E11" s="93" t="s">
        <v>229</v>
      </c>
      <c r="F11" s="93" t="s">
        <v>230</v>
      </c>
      <c r="G11" s="15"/>
      <c r="H11" s="15"/>
    </row>
    <row r="12" spans="1:8" ht="21.75" customHeight="1" x14ac:dyDescent="0.25">
      <c r="A12" s="15"/>
      <c r="B12" s="91" t="s">
        <v>231</v>
      </c>
      <c r="C12" s="92" t="s">
        <v>228</v>
      </c>
      <c r="D12" s="15"/>
      <c r="E12" s="91" t="s">
        <v>232</v>
      </c>
      <c r="F12" s="91" t="s">
        <v>233</v>
      </c>
      <c r="G12" s="15"/>
      <c r="H12" s="15"/>
    </row>
    <row r="13" spans="1:8" ht="21.75" customHeight="1" x14ac:dyDescent="0.25">
      <c r="A13" s="15"/>
      <c r="B13" s="93" t="s">
        <v>234</v>
      </c>
      <c r="C13" s="94" t="s">
        <v>228</v>
      </c>
      <c r="D13" s="15"/>
      <c r="E13" s="93" t="s">
        <v>235</v>
      </c>
      <c r="F13" s="93" t="s">
        <v>236</v>
      </c>
      <c r="G13" s="15"/>
      <c r="H13" s="15"/>
    </row>
    <row r="14" spans="1:8" ht="21.75" customHeight="1" x14ac:dyDescent="0.25">
      <c r="A14" s="11" t="s">
        <v>237</v>
      </c>
      <c r="B14" s="11"/>
      <c r="C14" s="11"/>
      <c r="D14" s="11"/>
      <c r="E14" s="11"/>
      <c r="F14" s="11"/>
      <c r="G14" s="15"/>
      <c r="H14" s="15"/>
    </row>
    <row r="15" spans="1:8" ht="6" customHeight="1" x14ac:dyDescent="0.25">
      <c r="A15" s="15"/>
      <c r="B15" s="15"/>
      <c r="C15" s="15"/>
      <c r="D15" s="15"/>
      <c r="E15" s="15"/>
      <c r="F15" s="15"/>
      <c r="G15" s="15"/>
      <c r="H15" s="15"/>
    </row>
    <row r="16" spans="1:8" ht="25.5" customHeight="1" x14ac:dyDescent="0.25">
      <c r="A16" s="144" t="s">
        <v>238</v>
      </c>
      <c r="B16" s="144"/>
      <c r="C16" s="144"/>
      <c r="D16" s="144"/>
      <c r="E16" s="144"/>
      <c r="F16" s="144"/>
      <c r="G16" s="15"/>
      <c r="H16" s="15"/>
    </row>
    <row r="17" spans="1:8" ht="18" customHeight="1" x14ac:dyDescent="0.25">
      <c r="A17" s="142" t="s">
        <v>239</v>
      </c>
      <c r="B17" s="142"/>
      <c r="C17" s="142"/>
      <c r="D17" s="142"/>
      <c r="E17" s="142"/>
      <c r="F17" s="142"/>
      <c r="G17" s="15"/>
      <c r="H17" s="15"/>
    </row>
    <row r="18" spans="1:8" ht="36" customHeight="1" x14ac:dyDescent="0.25">
      <c r="A18" s="143" t="s">
        <v>240</v>
      </c>
      <c r="B18" s="143"/>
      <c r="C18" s="143"/>
      <c r="D18" s="143"/>
      <c r="E18" s="143"/>
      <c r="F18" s="143"/>
      <c r="G18" s="15"/>
      <c r="H18" s="15"/>
    </row>
    <row r="19" spans="1:8" ht="18" customHeight="1" x14ac:dyDescent="0.25">
      <c r="A19" s="15"/>
      <c r="B19" s="18" t="s">
        <v>213</v>
      </c>
      <c r="C19" s="18" t="s">
        <v>214</v>
      </c>
      <c r="D19" s="15"/>
      <c r="E19" s="18" t="s">
        <v>215</v>
      </c>
      <c r="F19" s="18" t="s">
        <v>191</v>
      </c>
      <c r="G19" s="15"/>
      <c r="H19" s="15"/>
    </row>
    <row r="20" spans="1:8" ht="21.75" customHeight="1" x14ac:dyDescent="0.25">
      <c r="A20" s="15"/>
      <c r="B20" s="95" t="s">
        <v>216</v>
      </c>
      <c r="C20" s="96" t="s">
        <v>217</v>
      </c>
      <c r="D20" s="15"/>
      <c r="E20" s="95" t="s">
        <v>241</v>
      </c>
      <c r="F20" s="95"/>
      <c r="G20" s="15"/>
      <c r="H20" s="15"/>
    </row>
    <row r="21" spans="1:8" ht="21.75" customHeight="1" x14ac:dyDescent="0.25">
      <c r="A21" s="15"/>
      <c r="B21" s="97" t="s">
        <v>220</v>
      </c>
      <c r="C21" s="98" t="s">
        <v>217</v>
      </c>
      <c r="D21" s="15"/>
      <c r="E21" s="97" t="s">
        <v>242</v>
      </c>
      <c r="F21" s="97"/>
      <c r="G21" s="15"/>
      <c r="H21" s="15"/>
    </row>
    <row r="22" spans="1:8" ht="21.75" customHeight="1" x14ac:dyDescent="0.25">
      <c r="A22" s="15"/>
      <c r="B22" s="95" t="s">
        <v>223</v>
      </c>
      <c r="C22" s="96" t="s">
        <v>224</v>
      </c>
      <c r="D22" s="15"/>
      <c r="E22" s="95" t="s">
        <v>225</v>
      </c>
      <c r="F22" s="95"/>
      <c r="G22" s="15"/>
      <c r="H22" s="15"/>
    </row>
    <row r="23" spans="1:8" ht="21.75" customHeight="1" x14ac:dyDescent="0.25">
      <c r="A23" s="15"/>
      <c r="B23" s="97" t="s">
        <v>227</v>
      </c>
      <c r="C23" s="98" t="s">
        <v>228</v>
      </c>
      <c r="D23" s="15"/>
      <c r="E23" s="97" t="s">
        <v>243</v>
      </c>
      <c r="F23" s="97" t="s">
        <v>244</v>
      </c>
      <c r="G23" s="15"/>
      <c r="H23" s="15"/>
    </row>
    <row r="24" spans="1:8" ht="21.75" customHeight="1" x14ac:dyDescent="0.25">
      <c r="A24" s="15"/>
      <c r="B24" s="95" t="s">
        <v>245</v>
      </c>
      <c r="C24" s="96" t="s">
        <v>217</v>
      </c>
      <c r="D24" s="15"/>
      <c r="E24" s="95" t="s">
        <v>246</v>
      </c>
      <c r="F24" s="95" t="s">
        <v>247</v>
      </c>
      <c r="G24" s="15"/>
      <c r="H24" s="15"/>
    </row>
    <row r="25" spans="1:8" ht="21.75" customHeight="1" x14ac:dyDescent="0.25">
      <c r="A25" s="15"/>
      <c r="B25" s="97" t="s">
        <v>248</v>
      </c>
      <c r="C25" s="98" t="s">
        <v>217</v>
      </c>
      <c r="D25" s="15"/>
      <c r="E25" s="97" t="s">
        <v>249</v>
      </c>
      <c r="F25" s="97" t="s">
        <v>250</v>
      </c>
      <c r="G25" s="15"/>
      <c r="H25" s="15"/>
    </row>
    <row r="26" spans="1:8" ht="21.75" customHeight="1" x14ac:dyDescent="0.25">
      <c r="A26" s="15"/>
      <c r="B26" s="95" t="s">
        <v>251</v>
      </c>
      <c r="C26" s="96" t="s">
        <v>228</v>
      </c>
      <c r="D26" s="15"/>
      <c r="E26" s="95" t="s">
        <v>252</v>
      </c>
      <c r="F26" s="95"/>
      <c r="G26" s="15"/>
      <c r="H26" s="15"/>
    </row>
    <row r="27" spans="1:8" ht="21.75" customHeight="1" x14ac:dyDescent="0.25">
      <c r="A27" s="15"/>
      <c r="B27" s="97" t="s">
        <v>253</v>
      </c>
      <c r="C27" s="98" t="s">
        <v>217</v>
      </c>
      <c r="D27" s="15"/>
      <c r="E27" s="97" t="s">
        <v>254</v>
      </c>
      <c r="F27" s="97" t="s">
        <v>255</v>
      </c>
      <c r="G27" s="15"/>
      <c r="H27" s="15"/>
    </row>
    <row r="28" spans="1:8" ht="21.75" customHeight="1" x14ac:dyDescent="0.25">
      <c r="A28" s="15"/>
      <c r="B28" s="95" t="s">
        <v>256</v>
      </c>
      <c r="C28" s="96" t="s">
        <v>228</v>
      </c>
      <c r="D28" s="15"/>
      <c r="E28" s="95" t="s">
        <v>257</v>
      </c>
      <c r="F28" s="95" t="s">
        <v>258</v>
      </c>
      <c r="G28" s="15"/>
      <c r="H28" s="15"/>
    </row>
    <row r="29" spans="1:8" ht="21.75" customHeight="1" x14ac:dyDescent="0.25">
      <c r="A29" s="15"/>
      <c r="B29" s="97" t="s">
        <v>259</v>
      </c>
      <c r="C29" s="98" t="s">
        <v>217</v>
      </c>
      <c r="D29" s="15"/>
      <c r="E29" s="97" t="s">
        <v>260</v>
      </c>
      <c r="F29" s="97" t="s">
        <v>261</v>
      </c>
      <c r="G29" s="15"/>
      <c r="H29" s="15"/>
    </row>
    <row r="30" spans="1:8" ht="21.75" customHeight="1" x14ac:dyDescent="0.25">
      <c r="A30" s="15"/>
      <c r="B30" s="95" t="s">
        <v>262</v>
      </c>
      <c r="C30" s="96" t="s">
        <v>224</v>
      </c>
      <c r="D30" s="15"/>
      <c r="E30" s="95" t="s">
        <v>263</v>
      </c>
      <c r="F30" s="95"/>
      <c r="G30" s="15"/>
      <c r="H30" s="15"/>
    </row>
    <row r="31" spans="1:8" ht="21.75" customHeight="1" x14ac:dyDescent="0.25">
      <c r="A31" s="15"/>
      <c r="B31" s="97" t="s">
        <v>264</v>
      </c>
      <c r="C31" s="98" t="s">
        <v>217</v>
      </c>
      <c r="D31" s="15"/>
      <c r="E31" s="97" t="s">
        <v>265</v>
      </c>
      <c r="F31" s="97"/>
      <c r="G31" s="15"/>
      <c r="H31" s="15"/>
    </row>
    <row r="32" spans="1:8" ht="21.75" customHeight="1" x14ac:dyDescent="0.25">
      <c r="A32" s="15"/>
      <c r="B32" s="95" t="s">
        <v>266</v>
      </c>
      <c r="C32" s="96" t="s">
        <v>267</v>
      </c>
      <c r="D32" s="15"/>
      <c r="E32" s="95" t="s">
        <v>268</v>
      </c>
      <c r="F32" s="95" t="s">
        <v>269</v>
      </c>
      <c r="G32" s="15"/>
      <c r="H32" s="15"/>
    </row>
    <row r="33" spans="1:8" ht="21.75" customHeight="1" x14ac:dyDescent="0.25">
      <c r="A33" s="145" t="s">
        <v>270</v>
      </c>
      <c r="B33" s="145"/>
      <c r="C33" s="145"/>
      <c r="D33" s="145"/>
      <c r="E33" s="145"/>
      <c r="F33" s="145"/>
      <c r="G33" s="15"/>
      <c r="H33" s="15"/>
    </row>
    <row r="34" spans="1:8" ht="6" customHeight="1" x14ac:dyDescent="0.25">
      <c r="A34" s="15"/>
      <c r="B34" s="15"/>
      <c r="C34" s="15"/>
      <c r="D34" s="15"/>
      <c r="E34" s="15"/>
      <c r="F34" s="15"/>
      <c r="G34" s="15"/>
      <c r="H34" s="15"/>
    </row>
    <row r="35" spans="1:8" ht="25.5" customHeight="1" x14ac:dyDescent="0.25">
      <c r="A35" s="146" t="s">
        <v>271</v>
      </c>
      <c r="B35" s="146"/>
      <c r="C35" s="146"/>
      <c r="D35" s="146"/>
      <c r="E35" s="146"/>
      <c r="F35" s="146"/>
      <c r="G35" s="15"/>
      <c r="H35" s="15"/>
    </row>
    <row r="36" spans="1:8" ht="18" customHeight="1" x14ac:dyDescent="0.25">
      <c r="A36" s="142" t="s">
        <v>272</v>
      </c>
      <c r="B36" s="142"/>
      <c r="C36" s="142"/>
      <c r="D36" s="142"/>
      <c r="E36" s="142"/>
      <c r="F36" s="142"/>
      <c r="G36" s="15"/>
      <c r="H36" s="15"/>
    </row>
    <row r="37" spans="1:8" ht="48" customHeight="1" x14ac:dyDescent="0.25">
      <c r="A37" s="143" t="s">
        <v>273</v>
      </c>
      <c r="B37" s="143"/>
      <c r="C37" s="143"/>
      <c r="D37" s="143"/>
      <c r="E37" s="143"/>
      <c r="F37" s="143"/>
      <c r="G37" s="15"/>
      <c r="H37" s="15"/>
    </row>
    <row r="38" spans="1:8" ht="18" customHeight="1" x14ac:dyDescent="0.25">
      <c r="A38" s="15"/>
      <c r="B38" s="18" t="s">
        <v>213</v>
      </c>
      <c r="C38" s="18" t="s">
        <v>214</v>
      </c>
      <c r="D38" s="15"/>
      <c r="E38" s="18" t="s">
        <v>215</v>
      </c>
      <c r="F38" s="18" t="s">
        <v>191</v>
      </c>
      <c r="G38" s="15"/>
      <c r="H38" s="15"/>
    </row>
    <row r="39" spans="1:8" ht="21.75" customHeight="1" x14ac:dyDescent="0.25">
      <c r="A39" s="15"/>
      <c r="B39" s="99" t="s">
        <v>216</v>
      </c>
      <c r="C39" s="100" t="s">
        <v>217</v>
      </c>
      <c r="D39" s="15"/>
      <c r="E39" s="99" t="s">
        <v>241</v>
      </c>
      <c r="F39" s="99"/>
      <c r="G39" s="15"/>
      <c r="H39" s="15"/>
    </row>
    <row r="40" spans="1:8" ht="21.75" customHeight="1" x14ac:dyDescent="0.25">
      <c r="A40" s="15"/>
      <c r="B40" s="101" t="s">
        <v>220</v>
      </c>
      <c r="C40" s="102" t="s">
        <v>217</v>
      </c>
      <c r="D40" s="15"/>
      <c r="E40" s="101" t="s">
        <v>274</v>
      </c>
      <c r="F40" s="101"/>
      <c r="G40" s="15"/>
      <c r="H40" s="15"/>
    </row>
    <row r="41" spans="1:8" ht="21.75" customHeight="1" x14ac:dyDescent="0.25">
      <c r="A41" s="15"/>
      <c r="B41" s="99" t="s">
        <v>223</v>
      </c>
      <c r="C41" s="100" t="s">
        <v>224</v>
      </c>
      <c r="D41" s="15"/>
      <c r="E41" s="99" t="s">
        <v>275</v>
      </c>
      <c r="F41" s="99" t="s">
        <v>276</v>
      </c>
      <c r="G41" s="15"/>
      <c r="H41" s="15"/>
    </row>
    <row r="42" spans="1:8" ht="21.75" customHeight="1" x14ac:dyDescent="0.25">
      <c r="A42" s="15"/>
      <c r="B42" s="101" t="s">
        <v>277</v>
      </c>
      <c r="C42" s="102" t="s">
        <v>217</v>
      </c>
      <c r="D42" s="15"/>
      <c r="E42" s="101" t="s">
        <v>278</v>
      </c>
      <c r="F42" s="101" t="s">
        <v>279</v>
      </c>
      <c r="G42" s="15"/>
      <c r="H42" s="15"/>
    </row>
    <row r="43" spans="1:8" ht="21.75" customHeight="1" x14ac:dyDescent="0.25">
      <c r="A43" s="15"/>
      <c r="B43" s="99" t="s">
        <v>280</v>
      </c>
      <c r="C43" s="100" t="s">
        <v>217</v>
      </c>
      <c r="D43" s="15"/>
      <c r="E43" s="99" t="s">
        <v>281</v>
      </c>
      <c r="F43" s="99" t="s">
        <v>282</v>
      </c>
      <c r="G43" s="15"/>
      <c r="H43" s="15"/>
    </row>
    <row r="44" spans="1:8" ht="21.75" customHeight="1" x14ac:dyDescent="0.25">
      <c r="A44" s="147" t="s">
        <v>283</v>
      </c>
      <c r="B44" s="147"/>
      <c r="C44" s="147"/>
      <c r="D44" s="147"/>
      <c r="E44" s="147"/>
      <c r="F44" s="147"/>
      <c r="G44" s="15"/>
      <c r="H44" s="15"/>
    </row>
    <row r="45" spans="1:8" ht="6" customHeight="1" x14ac:dyDescent="0.25">
      <c r="A45" s="15"/>
      <c r="B45" s="15"/>
      <c r="C45" s="15"/>
      <c r="D45" s="15"/>
      <c r="E45" s="15"/>
      <c r="F45" s="15"/>
      <c r="G45" s="15"/>
      <c r="H45" s="15"/>
    </row>
    <row r="46" spans="1:8" ht="25.5" customHeight="1" x14ac:dyDescent="0.25">
      <c r="A46" s="148" t="s">
        <v>284</v>
      </c>
      <c r="B46" s="148"/>
      <c r="C46" s="148"/>
      <c r="D46" s="148"/>
      <c r="E46" s="148"/>
      <c r="F46" s="148"/>
      <c r="G46" s="15"/>
      <c r="H46" s="15"/>
    </row>
    <row r="47" spans="1:8" ht="18" customHeight="1" x14ac:dyDescent="0.25">
      <c r="A47" s="142" t="s">
        <v>285</v>
      </c>
      <c r="B47" s="142"/>
      <c r="C47" s="142"/>
      <c r="D47" s="142"/>
      <c r="E47" s="142"/>
      <c r="F47" s="142"/>
      <c r="G47" s="15"/>
      <c r="H47" s="15"/>
    </row>
    <row r="48" spans="1:8" ht="48" customHeight="1" x14ac:dyDescent="0.25">
      <c r="A48" s="143" t="s">
        <v>286</v>
      </c>
      <c r="B48" s="143"/>
      <c r="C48" s="143"/>
      <c r="D48" s="143"/>
      <c r="E48" s="143"/>
      <c r="F48" s="143"/>
      <c r="G48" s="15"/>
      <c r="H48" s="15"/>
    </row>
    <row r="49" spans="1:8" ht="18" customHeight="1" x14ac:dyDescent="0.25">
      <c r="A49" s="15"/>
      <c r="B49" s="18" t="s">
        <v>213</v>
      </c>
      <c r="C49" s="18" t="s">
        <v>214</v>
      </c>
      <c r="D49" s="15"/>
      <c r="E49" s="18" t="s">
        <v>215</v>
      </c>
      <c r="F49" s="18" t="s">
        <v>191</v>
      </c>
      <c r="G49" s="15"/>
      <c r="H49" s="15"/>
    </row>
    <row r="50" spans="1:8" ht="21.75" customHeight="1" x14ac:dyDescent="0.25">
      <c r="A50" s="15"/>
      <c r="B50" s="103" t="s">
        <v>216</v>
      </c>
      <c r="C50" s="104" t="s">
        <v>217</v>
      </c>
      <c r="D50" s="15"/>
      <c r="E50" s="103" t="s">
        <v>241</v>
      </c>
      <c r="F50" s="103"/>
      <c r="G50" s="15"/>
      <c r="H50" s="15"/>
    </row>
    <row r="51" spans="1:8" ht="21.75" customHeight="1" x14ac:dyDescent="0.25">
      <c r="A51" s="15"/>
      <c r="B51" s="105" t="s">
        <v>220</v>
      </c>
      <c r="C51" s="106" t="s">
        <v>217</v>
      </c>
      <c r="D51" s="15"/>
      <c r="E51" s="105" t="s">
        <v>287</v>
      </c>
      <c r="F51" s="105"/>
      <c r="G51" s="15"/>
      <c r="H51" s="15"/>
    </row>
    <row r="52" spans="1:8" ht="21.75" customHeight="1" x14ac:dyDescent="0.25">
      <c r="A52" s="15"/>
      <c r="B52" s="103" t="s">
        <v>227</v>
      </c>
      <c r="C52" s="104" t="s">
        <v>228</v>
      </c>
      <c r="D52" s="15"/>
      <c r="E52" s="103" t="s">
        <v>243</v>
      </c>
      <c r="F52" s="103" t="s">
        <v>288</v>
      </c>
      <c r="G52" s="15"/>
      <c r="H52" s="15"/>
    </row>
    <row r="53" spans="1:8" ht="21.75" customHeight="1" x14ac:dyDescent="0.25">
      <c r="A53" s="15"/>
      <c r="B53" s="105" t="s">
        <v>234</v>
      </c>
      <c r="C53" s="106" t="s">
        <v>228</v>
      </c>
      <c r="D53" s="15"/>
      <c r="E53" s="105" t="s">
        <v>235</v>
      </c>
      <c r="F53" s="105" t="s">
        <v>289</v>
      </c>
      <c r="G53" s="15"/>
      <c r="H53" s="15"/>
    </row>
    <row r="54" spans="1:8" ht="21.75" customHeight="1" x14ac:dyDescent="0.25">
      <c r="A54" s="149" t="s">
        <v>290</v>
      </c>
      <c r="B54" s="149"/>
      <c r="C54" s="149"/>
      <c r="D54" s="149"/>
      <c r="E54" s="149"/>
      <c r="F54" s="149"/>
      <c r="G54" s="15"/>
      <c r="H54" s="15"/>
    </row>
    <row r="55" spans="1:8" ht="6" customHeight="1" x14ac:dyDescent="0.25">
      <c r="A55" s="15"/>
      <c r="B55" s="15"/>
      <c r="C55" s="15"/>
      <c r="D55" s="15"/>
      <c r="E55" s="15"/>
      <c r="F55" s="15"/>
      <c r="G55" s="15"/>
      <c r="H55" s="15"/>
    </row>
    <row r="56" spans="1:8" ht="15.75" customHeight="1" x14ac:dyDescent="0.25">
      <c r="A56" s="15"/>
      <c r="B56" s="15"/>
      <c r="C56" s="15"/>
      <c r="D56" s="15"/>
      <c r="E56" s="15"/>
      <c r="F56" s="15"/>
      <c r="G56" s="15"/>
      <c r="H56" s="15"/>
    </row>
    <row r="57" spans="1:8" ht="21.75" customHeight="1" x14ac:dyDescent="0.25">
      <c r="A57" s="11" t="s">
        <v>291</v>
      </c>
      <c r="B57" s="11"/>
      <c r="C57" s="11"/>
      <c r="D57" s="11"/>
      <c r="E57" s="11"/>
      <c r="F57" s="11"/>
      <c r="G57" s="15"/>
      <c r="H57" s="15"/>
    </row>
    <row r="58" spans="1:8" ht="43.5" customHeight="1" x14ac:dyDescent="0.25">
      <c r="A58" s="15"/>
      <c r="B58" s="32" t="s">
        <v>292</v>
      </c>
      <c r="C58" s="150" t="s">
        <v>293</v>
      </c>
      <c r="D58" s="150"/>
      <c r="E58" s="150"/>
      <c r="F58" s="150"/>
      <c r="G58" s="15"/>
      <c r="H58" s="15"/>
    </row>
    <row r="59" spans="1:8" ht="43.5" customHeight="1" x14ac:dyDescent="0.25">
      <c r="A59" s="15"/>
      <c r="B59" s="107" t="s">
        <v>294</v>
      </c>
      <c r="C59" s="151" t="s">
        <v>295</v>
      </c>
      <c r="D59" s="151"/>
      <c r="E59" s="151"/>
      <c r="F59" s="151"/>
      <c r="G59" s="15"/>
      <c r="H59" s="15"/>
    </row>
    <row r="60" spans="1:8" ht="43.5" customHeight="1" x14ac:dyDescent="0.25">
      <c r="A60" s="15"/>
      <c r="B60" s="32" t="s">
        <v>296</v>
      </c>
      <c r="C60" s="150" t="s">
        <v>297</v>
      </c>
      <c r="D60" s="150"/>
      <c r="E60" s="150"/>
      <c r="F60" s="150"/>
      <c r="G60" s="15"/>
      <c r="H60" s="15"/>
    </row>
    <row r="61" spans="1:8" ht="43.5" customHeight="1" x14ac:dyDescent="0.25">
      <c r="A61" s="15"/>
      <c r="B61" s="107" t="s">
        <v>298</v>
      </c>
      <c r="C61" s="151" t="s">
        <v>299</v>
      </c>
      <c r="D61" s="151"/>
      <c r="E61" s="151"/>
      <c r="F61" s="151"/>
      <c r="G61" s="15"/>
      <c r="H61" s="15"/>
    </row>
    <row r="62" spans="1:8" ht="43.5" customHeight="1" x14ac:dyDescent="0.25">
      <c r="A62" s="15"/>
      <c r="B62" s="32" t="s">
        <v>300</v>
      </c>
      <c r="C62" s="150" t="s">
        <v>301</v>
      </c>
      <c r="D62" s="150"/>
      <c r="E62" s="150"/>
      <c r="F62" s="150"/>
      <c r="G62" s="15"/>
      <c r="H62" s="15"/>
    </row>
    <row r="63" spans="1:8" ht="15.75" customHeight="1" x14ac:dyDescent="0.25">
      <c r="A63" s="15"/>
      <c r="B63" s="15"/>
      <c r="C63" s="15"/>
      <c r="D63" s="15"/>
      <c r="E63" s="15"/>
      <c r="F63" s="15"/>
      <c r="G63" s="15"/>
      <c r="H63" s="15"/>
    </row>
    <row r="64" spans="1:8" ht="6" customHeight="1" x14ac:dyDescent="0.25">
      <c r="A64" s="15"/>
      <c r="B64" s="15"/>
      <c r="C64" s="15"/>
      <c r="D64" s="15"/>
      <c r="E64" s="15"/>
      <c r="F64" s="15"/>
      <c r="G64" s="15"/>
      <c r="H64" s="15"/>
    </row>
    <row r="65" spans="1:8" ht="25.5" customHeight="1" x14ac:dyDescent="0.25">
      <c r="A65" s="152" t="s">
        <v>302</v>
      </c>
      <c r="B65" s="152"/>
      <c r="C65" s="152"/>
      <c r="D65" s="152"/>
      <c r="E65" s="152"/>
      <c r="F65" s="152"/>
      <c r="G65" s="15"/>
      <c r="H65" s="15"/>
    </row>
    <row r="66" spans="1:8" ht="18" customHeight="1" x14ac:dyDescent="0.25">
      <c r="A66" s="142" t="s">
        <v>303</v>
      </c>
      <c r="B66" s="142"/>
      <c r="C66" s="142"/>
      <c r="D66" s="142"/>
      <c r="E66" s="142"/>
      <c r="F66" s="142"/>
      <c r="G66" s="15"/>
      <c r="H66" s="15"/>
    </row>
    <row r="67" spans="1:8" ht="51.75" customHeight="1" x14ac:dyDescent="0.25">
      <c r="A67" s="143" t="s">
        <v>304</v>
      </c>
      <c r="B67" s="143"/>
      <c r="C67" s="143"/>
      <c r="D67" s="143"/>
      <c r="E67" s="143"/>
      <c r="F67" s="143"/>
      <c r="G67" s="15"/>
      <c r="H67" s="15"/>
    </row>
    <row r="68" spans="1:8" ht="18" customHeight="1" x14ac:dyDescent="0.25">
      <c r="A68" s="15"/>
      <c r="B68" s="18" t="s">
        <v>213</v>
      </c>
      <c r="C68" s="18" t="s">
        <v>214</v>
      </c>
      <c r="D68" s="15"/>
      <c r="E68" s="18" t="s">
        <v>215</v>
      </c>
      <c r="F68" s="18" t="s">
        <v>191</v>
      </c>
      <c r="G68" s="15"/>
      <c r="H68" s="15"/>
    </row>
    <row r="69" spans="1:8" ht="21.75" customHeight="1" x14ac:dyDescent="0.25">
      <c r="A69" s="15"/>
      <c r="B69" s="108" t="s">
        <v>220</v>
      </c>
      <c r="C69" s="109" t="s">
        <v>217</v>
      </c>
      <c r="D69" s="15"/>
      <c r="E69" s="108" t="s">
        <v>305</v>
      </c>
      <c r="F69" s="108" t="s">
        <v>306</v>
      </c>
      <c r="G69" s="15"/>
      <c r="H69" s="15"/>
    </row>
    <row r="70" spans="1:8" ht="21.75" customHeight="1" x14ac:dyDescent="0.25">
      <c r="A70" s="15"/>
      <c r="B70" s="110" t="s">
        <v>307</v>
      </c>
      <c r="C70" s="111" t="s">
        <v>224</v>
      </c>
      <c r="D70" s="15"/>
      <c r="E70" s="110" t="s">
        <v>308</v>
      </c>
      <c r="F70" s="110" t="s">
        <v>309</v>
      </c>
      <c r="G70" s="15"/>
      <c r="H70" s="15"/>
    </row>
    <row r="71" spans="1:8" ht="21.75" customHeight="1" x14ac:dyDescent="0.25">
      <c r="A71" s="15"/>
      <c r="B71" s="108" t="s">
        <v>310</v>
      </c>
      <c r="C71" s="109" t="s">
        <v>217</v>
      </c>
      <c r="D71" s="15"/>
      <c r="E71" s="108" t="s">
        <v>311</v>
      </c>
      <c r="F71" s="108" t="s">
        <v>312</v>
      </c>
      <c r="G71" s="15"/>
      <c r="H71" s="15"/>
    </row>
    <row r="72" spans="1:8" ht="21.75" customHeight="1" x14ac:dyDescent="0.25">
      <c r="A72" s="15"/>
      <c r="B72" s="110" t="s">
        <v>313</v>
      </c>
      <c r="C72" s="111" t="s">
        <v>217</v>
      </c>
      <c r="D72" s="15"/>
      <c r="E72" s="110" t="s">
        <v>314</v>
      </c>
      <c r="F72" s="110" t="s">
        <v>315</v>
      </c>
      <c r="G72" s="15"/>
      <c r="H72" s="15"/>
    </row>
    <row r="73" spans="1:8" ht="21.75" customHeight="1" x14ac:dyDescent="0.25">
      <c r="A73" s="15"/>
      <c r="B73" s="108" t="s">
        <v>316</v>
      </c>
      <c r="C73" s="109" t="s">
        <v>217</v>
      </c>
      <c r="D73" s="15"/>
      <c r="E73" s="108" t="s">
        <v>317</v>
      </c>
      <c r="F73" s="108" t="s">
        <v>318</v>
      </c>
      <c r="G73" s="15"/>
      <c r="H73" s="15"/>
    </row>
    <row r="74" spans="1:8" ht="21.75" customHeight="1" x14ac:dyDescent="0.25">
      <c r="A74" s="15"/>
      <c r="B74" s="110" t="s">
        <v>319</v>
      </c>
      <c r="C74" s="111" t="s">
        <v>217</v>
      </c>
      <c r="D74" s="15"/>
      <c r="E74" s="110" t="s">
        <v>320</v>
      </c>
      <c r="F74" s="110" t="s">
        <v>321</v>
      </c>
      <c r="G74" s="15"/>
      <c r="H74" s="15"/>
    </row>
    <row r="75" spans="1:8" ht="21.75" customHeight="1" x14ac:dyDescent="0.25">
      <c r="A75" s="15"/>
      <c r="B75" s="108" t="s">
        <v>322</v>
      </c>
      <c r="C75" s="109" t="s">
        <v>228</v>
      </c>
      <c r="D75" s="15"/>
      <c r="E75" s="108" t="s">
        <v>323</v>
      </c>
      <c r="F75" s="108" t="s">
        <v>324</v>
      </c>
      <c r="G75" s="15"/>
      <c r="H75" s="15"/>
    </row>
    <row r="76" spans="1:8" ht="21.75" customHeight="1" x14ac:dyDescent="0.25">
      <c r="A76" s="15"/>
      <c r="B76" s="110" t="s">
        <v>325</v>
      </c>
      <c r="C76" s="111" t="s">
        <v>217</v>
      </c>
      <c r="D76" s="15"/>
      <c r="E76" s="110" t="s">
        <v>326</v>
      </c>
      <c r="F76" s="110" t="s">
        <v>327</v>
      </c>
      <c r="G76" s="15"/>
      <c r="H76" s="15"/>
    </row>
    <row r="77" spans="1:8" ht="21.75" customHeight="1" x14ac:dyDescent="0.25">
      <c r="A77" s="15"/>
      <c r="B77" s="108" t="s">
        <v>266</v>
      </c>
      <c r="C77" s="109" t="s">
        <v>217</v>
      </c>
      <c r="D77" s="15"/>
      <c r="E77" s="108" t="s">
        <v>328</v>
      </c>
      <c r="F77" s="108" t="s">
        <v>329</v>
      </c>
      <c r="G77" s="15"/>
      <c r="H77" s="15"/>
    </row>
    <row r="78" spans="1:8" ht="21.75" customHeight="1" x14ac:dyDescent="0.25">
      <c r="A78" s="153" t="s">
        <v>330</v>
      </c>
      <c r="B78" s="153"/>
      <c r="C78" s="153"/>
      <c r="D78" s="153"/>
      <c r="E78" s="153"/>
      <c r="F78" s="153"/>
      <c r="G78" s="15"/>
      <c r="H78" s="15"/>
    </row>
    <row r="79" spans="1:8" ht="6" customHeight="1" x14ac:dyDescent="0.25">
      <c r="A79" s="15"/>
      <c r="B79" s="15"/>
      <c r="C79" s="15"/>
      <c r="D79" s="15"/>
      <c r="E79" s="15"/>
      <c r="F79" s="15"/>
      <c r="G79" s="15"/>
      <c r="H79" s="15"/>
    </row>
    <row r="80" spans="1:8" ht="15.75" customHeight="1" x14ac:dyDescent="0.25">
      <c r="A80" s="15"/>
      <c r="B80" s="15"/>
      <c r="C80" s="15"/>
      <c r="D80" s="15"/>
      <c r="E80" s="15"/>
      <c r="F80" s="15"/>
      <c r="G80" s="15"/>
      <c r="H80" s="15"/>
    </row>
    <row r="81" spans="1:8" ht="21.75" customHeight="1" x14ac:dyDescent="0.25">
      <c r="A81" s="147" t="s">
        <v>331</v>
      </c>
      <c r="B81" s="147"/>
      <c r="C81" s="147"/>
      <c r="D81" s="147"/>
      <c r="E81" s="147"/>
      <c r="F81" s="147"/>
      <c r="G81" s="15"/>
      <c r="H81" s="15"/>
    </row>
    <row r="82" spans="1:8" ht="55.5" customHeight="1" x14ac:dyDescent="0.25">
      <c r="A82" s="15"/>
      <c r="B82" s="112" t="s">
        <v>332</v>
      </c>
      <c r="C82" s="154" t="s">
        <v>333</v>
      </c>
      <c r="D82" s="154"/>
      <c r="E82" s="154"/>
      <c r="F82" s="154"/>
      <c r="G82" s="15"/>
      <c r="H82" s="15"/>
    </row>
    <row r="83" spans="1:8" ht="55.5" customHeight="1" x14ac:dyDescent="0.25">
      <c r="A83" s="15"/>
      <c r="B83" s="113" t="s">
        <v>334</v>
      </c>
      <c r="C83" s="155" t="s">
        <v>335</v>
      </c>
      <c r="D83" s="155"/>
      <c r="E83" s="155"/>
      <c r="F83" s="155"/>
      <c r="G83" s="15"/>
      <c r="H83" s="15"/>
    </row>
    <row r="84" spans="1:8" ht="55.5" customHeight="1" x14ac:dyDescent="0.25">
      <c r="A84" s="15"/>
      <c r="B84" s="112" t="s">
        <v>336</v>
      </c>
      <c r="C84" s="154" t="s">
        <v>337</v>
      </c>
      <c r="D84" s="154"/>
      <c r="E84" s="154"/>
      <c r="F84" s="154"/>
      <c r="G84" s="15"/>
      <c r="H84" s="15"/>
    </row>
    <row r="85" spans="1:8" ht="55.5" customHeight="1" x14ac:dyDescent="0.25">
      <c r="A85" s="15"/>
      <c r="B85" s="113" t="s">
        <v>338</v>
      </c>
      <c r="C85" s="155" t="s">
        <v>339</v>
      </c>
      <c r="D85" s="155"/>
      <c r="E85" s="155"/>
      <c r="F85" s="155"/>
      <c r="G85" s="15"/>
      <c r="H85" s="15"/>
    </row>
    <row r="86" spans="1:8" ht="55.5" customHeight="1" x14ac:dyDescent="0.25">
      <c r="A86" s="15"/>
      <c r="B86" s="112" t="s">
        <v>340</v>
      </c>
      <c r="C86" s="154" t="s">
        <v>341</v>
      </c>
      <c r="D86" s="154"/>
      <c r="E86" s="154"/>
      <c r="F86" s="154"/>
      <c r="G86" s="15"/>
      <c r="H86" s="15"/>
    </row>
    <row r="87" spans="1:8" ht="55.5" customHeight="1" x14ac:dyDescent="0.25">
      <c r="A87" s="15"/>
      <c r="B87" s="113" t="s">
        <v>342</v>
      </c>
      <c r="C87" s="155" t="s">
        <v>343</v>
      </c>
      <c r="D87" s="155"/>
      <c r="E87" s="155"/>
      <c r="F87" s="155"/>
      <c r="G87" s="15"/>
      <c r="H87" s="15"/>
    </row>
    <row r="88" spans="1:8" ht="15.75" customHeight="1" x14ac:dyDescent="0.25">
      <c r="A88" s="15"/>
      <c r="B88" s="15"/>
      <c r="C88" s="15"/>
      <c r="D88" s="15"/>
      <c r="E88" s="15"/>
      <c r="F88" s="15"/>
      <c r="G88" s="15"/>
      <c r="H88" s="15"/>
    </row>
    <row r="89" spans="1:8" ht="25.5" customHeight="1" x14ac:dyDescent="0.25">
      <c r="A89" s="144" t="s">
        <v>344</v>
      </c>
      <c r="B89" s="144"/>
      <c r="C89" s="144"/>
      <c r="D89" s="144"/>
      <c r="E89" s="144"/>
      <c r="F89" s="144"/>
      <c r="G89" s="15"/>
      <c r="H89" s="15"/>
    </row>
    <row r="90" spans="1:8" ht="43.5" customHeight="1" x14ac:dyDescent="0.25">
      <c r="A90" s="156" t="s">
        <v>345</v>
      </c>
      <c r="B90" s="156"/>
      <c r="C90" s="156"/>
      <c r="D90" s="156"/>
      <c r="E90" s="156"/>
      <c r="F90" s="156"/>
      <c r="G90" s="15"/>
      <c r="H90" s="15"/>
    </row>
    <row r="91" spans="1:8" ht="7.5" customHeight="1" x14ac:dyDescent="0.25">
      <c r="A91" s="15"/>
      <c r="B91" s="15"/>
      <c r="C91" s="15"/>
      <c r="D91" s="15"/>
      <c r="E91" s="15"/>
      <c r="F91" s="15"/>
      <c r="G91" s="15"/>
      <c r="H91" s="15"/>
    </row>
    <row r="92" spans="1:8" ht="21.75" customHeight="1" x14ac:dyDescent="0.25">
      <c r="A92" s="153" t="s">
        <v>346</v>
      </c>
      <c r="B92" s="153"/>
      <c r="C92" s="153"/>
      <c r="D92" s="153"/>
      <c r="E92" s="153"/>
      <c r="F92" s="153"/>
      <c r="G92" s="15"/>
      <c r="H92" s="15"/>
    </row>
    <row r="93" spans="1:8" ht="18" customHeight="1" x14ac:dyDescent="0.25">
      <c r="A93" s="157" t="s">
        <v>347</v>
      </c>
      <c r="B93" s="157"/>
      <c r="C93" s="157"/>
      <c r="D93" s="157"/>
      <c r="E93" s="157"/>
      <c r="F93" s="157"/>
      <c r="G93" s="15"/>
      <c r="H93" s="15"/>
    </row>
    <row r="94" spans="1:8" ht="51.75" customHeight="1" x14ac:dyDescent="0.25">
      <c r="A94" s="15"/>
      <c r="B94" s="32" t="s">
        <v>348</v>
      </c>
      <c r="C94" s="150" t="s">
        <v>349</v>
      </c>
      <c r="D94" s="150"/>
      <c r="E94" s="150"/>
      <c r="F94" s="150"/>
      <c r="G94" s="15"/>
      <c r="H94" s="15"/>
    </row>
    <row r="95" spans="1:8" ht="103.5" customHeight="1" x14ac:dyDescent="0.25">
      <c r="A95" s="15"/>
      <c r="B95" s="107" t="s">
        <v>350</v>
      </c>
      <c r="C95" s="151" t="s">
        <v>351</v>
      </c>
      <c r="D95" s="151"/>
      <c r="E95" s="151"/>
      <c r="F95" s="151"/>
      <c r="G95" s="15"/>
      <c r="H95" s="15"/>
    </row>
    <row r="96" spans="1:8" ht="43.5" customHeight="1" x14ac:dyDescent="0.25">
      <c r="A96" s="15"/>
      <c r="B96" s="32" t="s">
        <v>352</v>
      </c>
      <c r="C96" s="150" t="s">
        <v>353</v>
      </c>
      <c r="D96" s="150"/>
      <c r="E96" s="150"/>
      <c r="F96" s="150"/>
      <c r="G96" s="15"/>
      <c r="H96" s="15"/>
    </row>
    <row r="97" spans="1:8" ht="51.75" customHeight="1" x14ac:dyDescent="0.25">
      <c r="A97" s="15"/>
      <c r="B97" s="107" t="s">
        <v>354</v>
      </c>
      <c r="C97" s="151" t="s">
        <v>355</v>
      </c>
      <c r="D97" s="151"/>
      <c r="E97" s="151"/>
      <c r="F97" s="151"/>
      <c r="G97" s="15"/>
      <c r="H97" s="15"/>
    </row>
    <row r="98" spans="1:8" ht="51.75" customHeight="1" x14ac:dyDescent="0.25">
      <c r="A98" s="15"/>
      <c r="B98" s="32" t="s">
        <v>356</v>
      </c>
      <c r="C98" s="150" t="s">
        <v>357</v>
      </c>
      <c r="D98" s="150"/>
      <c r="E98" s="150"/>
      <c r="F98" s="150"/>
      <c r="G98" s="15"/>
      <c r="H98" s="15"/>
    </row>
    <row r="99" spans="1:8" ht="43.5" customHeight="1" x14ac:dyDescent="0.25">
      <c r="A99" s="15"/>
      <c r="B99" s="107" t="s">
        <v>358</v>
      </c>
      <c r="C99" s="151" t="s">
        <v>359</v>
      </c>
      <c r="D99" s="151"/>
      <c r="E99" s="151"/>
      <c r="F99" s="151"/>
      <c r="G99" s="15"/>
      <c r="H99" s="15"/>
    </row>
    <row r="100" spans="1:8" ht="15.75" customHeight="1" x14ac:dyDescent="0.25">
      <c r="A100" s="15"/>
      <c r="B100" s="15"/>
      <c r="C100" s="15"/>
      <c r="D100" s="15"/>
      <c r="E100" s="15"/>
      <c r="F100" s="15"/>
      <c r="G100" s="15"/>
      <c r="H100" s="15"/>
    </row>
    <row r="101" spans="1:8" ht="15.75" customHeight="1" x14ac:dyDescent="0.25">
      <c r="A101" s="15"/>
      <c r="B101" s="15"/>
      <c r="C101" s="15"/>
      <c r="D101" s="15"/>
      <c r="E101" s="15"/>
      <c r="F101" s="15"/>
      <c r="G101" s="15"/>
      <c r="H101" s="15"/>
    </row>
    <row r="102" spans="1:8" ht="15.75" customHeight="1" x14ac:dyDescent="0.25">
      <c r="A102" s="15"/>
      <c r="B102" s="15"/>
      <c r="C102" s="15"/>
      <c r="D102" s="15"/>
      <c r="E102" s="15"/>
      <c r="F102" s="15"/>
      <c r="G102" s="15"/>
      <c r="H102" s="15"/>
    </row>
    <row r="103" spans="1:8" ht="15.75" customHeight="1" x14ac:dyDescent="0.25">
      <c r="A103" s="15"/>
      <c r="B103" s="15"/>
      <c r="C103" s="15"/>
      <c r="D103" s="15"/>
      <c r="E103" s="15"/>
      <c r="F103" s="15"/>
      <c r="G103" s="15"/>
      <c r="H103" s="15"/>
    </row>
    <row r="104" spans="1:8" ht="15.75" customHeight="1" x14ac:dyDescent="0.25">
      <c r="A104" s="15"/>
      <c r="B104" s="15"/>
      <c r="C104" s="15"/>
      <c r="D104" s="15"/>
      <c r="E104" s="15"/>
      <c r="F104" s="15"/>
      <c r="G104" s="15"/>
      <c r="H104" s="15"/>
    </row>
    <row r="105" spans="1:8" ht="15.75" customHeight="1" x14ac:dyDescent="0.25">
      <c r="A105" s="15"/>
      <c r="B105" s="15"/>
      <c r="C105" s="15"/>
      <c r="D105" s="15"/>
      <c r="E105" s="15"/>
      <c r="F105" s="15"/>
      <c r="G105" s="15"/>
      <c r="H105" s="15"/>
    </row>
    <row r="106" spans="1:8" ht="15.75" customHeight="1" x14ac:dyDescent="0.25"/>
    <row r="107" spans="1:8" ht="15.75" customHeight="1" x14ac:dyDescent="0.25"/>
    <row r="108" spans="1:8" ht="15.75" customHeight="1" x14ac:dyDescent="0.25"/>
    <row r="109" spans="1:8" ht="15.75" customHeight="1" x14ac:dyDescent="0.25"/>
    <row r="110" spans="1:8" ht="15.75" customHeight="1" x14ac:dyDescent="0.25"/>
    <row r="111" spans="1:8" ht="15.75" customHeight="1" x14ac:dyDescent="0.25"/>
    <row r="112" spans="1:8"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sheetData>
  <mergeCells count="45">
    <mergeCell ref="C95:F95"/>
    <mergeCell ref="C96:F96"/>
    <mergeCell ref="C97:F97"/>
    <mergeCell ref="C98:F98"/>
    <mergeCell ref="C99:F99"/>
    <mergeCell ref="A89:F89"/>
    <mergeCell ref="A90:F90"/>
    <mergeCell ref="A92:F92"/>
    <mergeCell ref="A93:F93"/>
    <mergeCell ref="C94:F94"/>
    <mergeCell ref="C83:F83"/>
    <mergeCell ref="C84:F84"/>
    <mergeCell ref="C85:F85"/>
    <mergeCell ref="C86:F86"/>
    <mergeCell ref="C87:F87"/>
    <mergeCell ref="A66:F66"/>
    <mergeCell ref="A67:F67"/>
    <mergeCell ref="A78:F78"/>
    <mergeCell ref="A81:F81"/>
    <mergeCell ref="C82:F82"/>
    <mergeCell ref="C59:F59"/>
    <mergeCell ref="C60:F60"/>
    <mergeCell ref="C61:F61"/>
    <mergeCell ref="C62:F62"/>
    <mergeCell ref="A65:F65"/>
    <mergeCell ref="A47:F47"/>
    <mergeCell ref="A48:F48"/>
    <mergeCell ref="A54:F54"/>
    <mergeCell ref="A57:F57"/>
    <mergeCell ref="C58:F58"/>
    <mergeCell ref="A35:F35"/>
    <mergeCell ref="A36:F36"/>
    <mergeCell ref="A37:F37"/>
    <mergeCell ref="A44:F44"/>
    <mergeCell ref="A46:F46"/>
    <mergeCell ref="A14:F14"/>
    <mergeCell ref="A16:F16"/>
    <mergeCell ref="A17:F17"/>
    <mergeCell ref="A18:F18"/>
    <mergeCell ref="A33:F33"/>
    <mergeCell ref="A1:F1"/>
    <mergeCell ref="A2:F2"/>
    <mergeCell ref="A4:F4"/>
    <mergeCell ref="A5:F5"/>
    <mergeCell ref="A6:F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A1B9A"/>
  </sheetPr>
  <dimension ref="A1:H31"/>
  <sheetViews>
    <sheetView showGridLines="0" zoomScaleNormal="100" workbookViewId="0"/>
  </sheetViews>
  <sheetFormatPr defaultColWidth="8.7109375" defaultRowHeight="15" x14ac:dyDescent="0.25"/>
  <cols>
    <col min="1" max="1" width="2" customWidth="1"/>
    <col min="2" max="3" width="12" customWidth="1"/>
    <col min="4" max="4" width="32" customWidth="1"/>
    <col min="5" max="5" width="36" customWidth="1"/>
    <col min="6" max="6" width="2" customWidth="1"/>
    <col min="7" max="7" width="32" customWidth="1"/>
  </cols>
  <sheetData>
    <row r="1" spans="1:8" ht="36" customHeight="1" x14ac:dyDescent="0.25">
      <c r="A1" s="9" t="s">
        <v>360</v>
      </c>
      <c r="B1" s="9"/>
      <c r="C1" s="9"/>
      <c r="D1" s="9"/>
      <c r="E1" s="9"/>
      <c r="F1" s="9"/>
      <c r="G1" s="9"/>
      <c r="H1" s="17"/>
    </row>
    <row r="2" spans="1:8" ht="19.5" customHeight="1" x14ac:dyDescent="0.25">
      <c r="A2" s="9"/>
      <c r="B2" s="9"/>
      <c r="C2" s="9"/>
      <c r="D2" s="9"/>
      <c r="E2" s="9"/>
      <c r="F2" s="9"/>
      <c r="G2" s="9"/>
      <c r="H2" s="17"/>
    </row>
    <row r="3" spans="1:8" ht="19.5" customHeight="1" x14ac:dyDescent="0.25">
      <c r="A3" s="8" t="s">
        <v>361</v>
      </c>
      <c r="B3" s="8"/>
      <c r="C3" s="8"/>
      <c r="D3" s="8"/>
      <c r="E3" s="8"/>
      <c r="F3" s="8"/>
      <c r="G3" s="8"/>
      <c r="H3" s="17"/>
    </row>
    <row r="4" spans="1:8" ht="19.5" customHeight="1" x14ac:dyDescent="0.25">
      <c r="A4" s="17"/>
      <c r="B4" s="61"/>
      <c r="C4" s="61"/>
      <c r="D4" s="55"/>
      <c r="E4" s="17"/>
      <c r="F4" s="17"/>
      <c r="G4" s="17"/>
      <c r="H4" s="17"/>
    </row>
    <row r="5" spans="1:8" ht="19.5" customHeight="1" x14ac:dyDescent="0.25">
      <c r="A5" s="17"/>
      <c r="B5" s="11" t="s">
        <v>362</v>
      </c>
      <c r="C5" s="11"/>
      <c r="D5" s="11"/>
      <c r="E5" s="11"/>
      <c r="F5" s="11"/>
      <c r="G5" s="11"/>
      <c r="H5" s="17"/>
    </row>
    <row r="6" spans="1:8" ht="19.5" customHeight="1" x14ac:dyDescent="0.25">
      <c r="A6" s="17"/>
      <c r="B6" s="18" t="s">
        <v>363</v>
      </c>
      <c r="C6" s="18" t="s">
        <v>364</v>
      </c>
      <c r="D6" s="18" t="s">
        <v>191</v>
      </c>
      <c r="E6" s="18" t="s">
        <v>365</v>
      </c>
      <c r="F6" s="17"/>
      <c r="G6" s="18"/>
      <c r="H6" s="17"/>
    </row>
    <row r="7" spans="1:8" ht="51.75" customHeight="1" x14ac:dyDescent="0.25">
      <c r="A7" s="17"/>
      <c r="B7" s="114">
        <v>2</v>
      </c>
      <c r="C7" s="114">
        <v>13</v>
      </c>
      <c r="D7" s="115" t="s">
        <v>366</v>
      </c>
      <c r="E7" s="116" t="s">
        <v>367</v>
      </c>
      <c r="F7" s="17"/>
      <c r="G7" s="17"/>
      <c r="H7" s="17"/>
    </row>
    <row r="8" spans="1:8" ht="51.75" customHeight="1" x14ac:dyDescent="0.25">
      <c r="A8" s="17"/>
      <c r="B8" s="94">
        <v>5</v>
      </c>
      <c r="C8" s="94">
        <v>17</v>
      </c>
      <c r="D8" s="117" t="s">
        <v>368</v>
      </c>
      <c r="E8" s="118" t="s">
        <v>369</v>
      </c>
      <c r="F8" s="17"/>
      <c r="G8" s="17"/>
      <c r="H8" s="17"/>
    </row>
    <row r="9" spans="1:8" ht="51.75" customHeight="1" x14ac:dyDescent="0.25">
      <c r="A9" s="17"/>
      <c r="B9" s="114">
        <v>8</v>
      </c>
      <c r="C9" s="114">
        <v>22</v>
      </c>
      <c r="D9" s="115" t="s">
        <v>370</v>
      </c>
      <c r="E9" s="116" t="s">
        <v>371</v>
      </c>
      <c r="F9" s="17"/>
      <c r="G9" s="17"/>
      <c r="H9" s="17"/>
    </row>
    <row r="10" spans="1:8" ht="51.75" customHeight="1" x14ac:dyDescent="0.25">
      <c r="A10" s="17"/>
      <c r="B10" s="94">
        <v>11</v>
      </c>
      <c r="C10" s="94">
        <v>26</v>
      </c>
      <c r="D10" s="117" t="s">
        <v>372</v>
      </c>
      <c r="E10" s="118" t="s">
        <v>373</v>
      </c>
      <c r="F10" s="17"/>
      <c r="G10" s="17"/>
      <c r="H10" s="17"/>
    </row>
    <row r="11" spans="1:8" ht="51.75" customHeight="1" x14ac:dyDescent="0.25">
      <c r="A11" s="17"/>
      <c r="B11" s="111">
        <v>14</v>
      </c>
      <c r="C11" s="111">
        <v>31</v>
      </c>
      <c r="D11" s="119" t="s">
        <v>374</v>
      </c>
      <c r="E11" s="120" t="s">
        <v>375</v>
      </c>
      <c r="F11" s="17"/>
      <c r="G11" s="17"/>
      <c r="H11" s="17"/>
    </row>
    <row r="12" spans="1:8" ht="43.5" customHeight="1" x14ac:dyDescent="0.25">
      <c r="A12" s="17"/>
      <c r="B12" s="121">
        <v>17</v>
      </c>
      <c r="C12" s="121">
        <v>87</v>
      </c>
      <c r="D12" s="122" t="s">
        <v>376</v>
      </c>
      <c r="E12" s="116" t="s">
        <v>377</v>
      </c>
      <c r="F12" s="17"/>
      <c r="G12" s="17"/>
      <c r="H12" s="17"/>
    </row>
    <row r="13" spans="1:8" ht="43.5" customHeight="1" x14ac:dyDescent="0.25">
      <c r="A13" s="17"/>
      <c r="B13" s="79">
        <v>20</v>
      </c>
      <c r="C13" s="79">
        <v>120</v>
      </c>
      <c r="D13" s="123" t="s">
        <v>378</v>
      </c>
      <c r="E13" s="118" t="s">
        <v>379</v>
      </c>
      <c r="F13" s="17"/>
      <c r="G13" s="17"/>
      <c r="H13" s="17"/>
    </row>
    <row r="14" spans="1:8" ht="79.5" customHeight="1" x14ac:dyDescent="0.25">
      <c r="A14" s="17"/>
      <c r="B14" s="158" t="s">
        <v>380</v>
      </c>
      <c r="C14" s="158"/>
      <c r="D14" s="158"/>
      <c r="E14" s="158"/>
      <c r="F14" s="17"/>
      <c r="G14" s="17"/>
      <c r="H14" s="17"/>
    </row>
    <row r="15" spans="1:8" ht="19.5" customHeight="1" x14ac:dyDescent="0.25">
      <c r="A15" s="17"/>
      <c r="B15" s="124"/>
      <c r="C15" s="125"/>
      <c r="D15" s="126"/>
      <c r="E15" s="127"/>
      <c r="F15" s="17"/>
      <c r="G15" s="17"/>
      <c r="H15" s="17"/>
    </row>
    <row r="16" spans="1:8" ht="7.5" customHeight="1" x14ac:dyDescent="0.25">
      <c r="A16" s="55"/>
      <c r="B16" s="17"/>
      <c r="C16" s="17"/>
      <c r="D16" s="17"/>
      <c r="E16" s="17"/>
      <c r="F16" s="17"/>
      <c r="G16" s="17"/>
      <c r="H16" s="17"/>
    </row>
    <row r="17" spans="1:8" ht="19.5" customHeight="1" x14ac:dyDescent="0.25">
      <c r="A17" s="17"/>
      <c r="B17" s="11" t="s">
        <v>381</v>
      </c>
      <c r="C17" s="11"/>
      <c r="D17" s="11"/>
      <c r="E17" s="11"/>
      <c r="F17" s="11"/>
      <c r="G17" s="11"/>
      <c r="H17" s="17"/>
    </row>
    <row r="18" spans="1:8" ht="19.5" customHeight="1" x14ac:dyDescent="0.25">
      <c r="A18" s="17"/>
      <c r="B18" s="18" t="s">
        <v>382</v>
      </c>
      <c r="C18" s="18" t="s">
        <v>383</v>
      </c>
      <c r="D18" s="18" t="s">
        <v>384</v>
      </c>
      <c r="E18" s="18" t="s">
        <v>385</v>
      </c>
      <c r="F18" s="17"/>
      <c r="G18" s="18" t="s">
        <v>386</v>
      </c>
      <c r="H18" s="17"/>
    </row>
    <row r="19" spans="1:8" ht="19.5" customHeight="1" x14ac:dyDescent="0.25">
      <c r="A19" s="17"/>
      <c r="B19" s="128" t="s">
        <v>122</v>
      </c>
      <c r="C19" s="91" t="s">
        <v>387</v>
      </c>
      <c r="D19" s="86" t="s">
        <v>388</v>
      </c>
      <c r="E19" s="76">
        <v>1</v>
      </c>
      <c r="F19" s="17"/>
      <c r="G19" s="129" t="s">
        <v>389</v>
      </c>
      <c r="H19" s="17"/>
    </row>
    <row r="20" spans="1:8" ht="19.5" customHeight="1" x14ac:dyDescent="0.25">
      <c r="A20" s="17"/>
      <c r="B20" s="130" t="s">
        <v>390</v>
      </c>
      <c r="C20" s="93" t="s">
        <v>391</v>
      </c>
      <c r="D20" s="79" t="s">
        <v>388</v>
      </c>
      <c r="E20" s="131">
        <v>1</v>
      </c>
      <c r="F20" s="17"/>
      <c r="G20" s="132" t="s">
        <v>392</v>
      </c>
      <c r="H20" s="17"/>
    </row>
    <row r="21" spans="1:8" ht="19.5" customHeight="1" x14ac:dyDescent="0.25">
      <c r="A21" s="17"/>
      <c r="B21" s="128" t="s">
        <v>393</v>
      </c>
      <c r="C21" s="91" t="s">
        <v>394</v>
      </c>
      <c r="D21" s="133" t="s">
        <v>395</v>
      </c>
      <c r="E21" s="134">
        <v>0.1</v>
      </c>
      <c r="F21" s="17"/>
      <c r="G21" s="129" t="s">
        <v>396</v>
      </c>
      <c r="H21" s="17"/>
    </row>
    <row r="22" spans="1:8" ht="19.5" customHeight="1" x14ac:dyDescent="0.25">
      <c r="A22" s="17"/>
      <c r="B22" s="130" t="s">
        <v>397</v>
      </c>
      <c r="C22" s="93" t="s">
        <v>398</v>
      </c>
      <c r="D22" s="135" t="s">
        <v>399</v>
      </c>
      <c r="E22" s="77">
        <v>10</v>
      </c>
      <c r="F22" s="17"/>
      <c r="G22" s="132" t="s">
        <v>400</v>
      </c>
      <c r="H22" s="17"/>
    </row>
    <row r="23" spans="1:8" ht="19.5" customHeight="1" x14ac:dyDescent="0.25">
      <c r="A23" s="17"/>
      <c r="B23" s="17"/>
      <c r="C23" s="17"/>
      <c r="D23" s="17"/>
      <c r="E23" s="17"/>
      <c r="F23" s="17"/>
      <c r="G23" s="17"/>
      <c r="H23" s="17"/>
    </row>
    <row r="24" spans="1:8" ht="19.5" customHeight="1" x14ac:dyDescent="0.25">
      <c r="A24" s="17"/>
      <c r="B24" s="17"/>
      <c r="C24" s="17"/>
      <c r="D24" s="17"/>
      <c r="E24" s="17"/>
      <c r="F24" s="17"/>
      <c r="G24" s="17"/>
      <c r="H24" s="17"/>
    </row>
    <row r="25" spans="1:8" ht="19.5" customHeight="1" x14ac:dyDescent="0.25">
      <c r="A25" s="17"/>
      <c r="B25" s="17"/>
      <c r="C25" s="17"/>
      <c r="D25" s="17"/>
      <c r="E25" s="17"/>
      <c r="F25" s="17"/>
      <c r="G25" s="17"/>
      <c r="H25" s="17"/>
    </row>
    <row r="26" spans="1:8" ht="19.5" customHeight="1" x14ac:dyDescent="0.25">
      <c r="A26" s="17"/>
      <c r="B26" s="17"/>
      <c r="C26" s="17"/>
      <c r="D26" s="17"/>
      <c r="E26" s="17"/>
      <c r="F26" s="17"/>
      <c r="G26" s="17"/>
      <c r="H26" s="17"/>
    </row>
    <row r="27" spans="1:8" ht="19.5" customHeight="1" x14ac:dyDescent="0.25">
      <c r="A27" s="17"/>
      <c r="B27" s="17"/>
      <c r="C27" s="17"/>
      <c r="D27" s="17"/>
      <c r="E27" s="17"/>
      <c r="F27" s="17"/>
      <c r="G27" s="17"/>
      <c r="H27" s="17"/>
    </row>
    <row r="28" spans="1:8" ht="19.5" customHeight="1" x14ac:dyDescent="0.25">
      <c r="A28" s="17"/>
      <c r="B28" s="17"/>
      <c r="C28" s="17"/>
      <c r="D28" s="17"/>
      <c r="E28" s="17"/>
      <c r="F28" s="17"/>
      <c r="G28" s="17"/>
      <c r="H28" s="17"/>
    </row>
    <row r="29" spans="1:8" ht="19.5" customHeight="1" x14ac:dyDescent="0.25">
      <c r="A29" s="17"/>
      <c r="B29" s="17"/>
      <c r="C29" s="17"/>
      <c r="D29" s="17"/>
      <c r="E29" s="17"/>
      <c r="F29" s="17"/>
      <c r="G29" s="17"/>
      <c r="H29" s="17"/>
    </row>
    <row r="30" spans="1:8" ht="19.5" customHeight="1" x14ac:dyDescent="0.25">
      <c r="A30" s="17"/>
      <c r="B30" s="17"/>
      <c r="C30" s="17"/>
      <c r="D30" s="17"/>
      <c r="E30" s="17"/>
      <c r="F30" s="17"/>
      <c r="G30" s="17"/>
      <c r="H30" s="17"/>
    </row>
    <row r="31" spans="1:8" ht="19.5" customHeight="1" x14ac:dyDescent="0.25"/>
  </sheetData>
  <mergeCells count="5">
    <mergeCell ref="A1:G2"/>
    <mergeCell ref="A3:G3"/>
    <mergeCell ref="B5:G5"/>
    <mergeCell ref="B14:E14"/>
    <mergeCell ref="B17:G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65100"/>
  </sheetPr>
  <dimension ref="A1:E59"/>
  <sheetViews>
    <sheetView showGridLines="0" zoomScaleNormal="100" workbookViewId="0"/>
  </sheetViews>
  <sheetFormatPr defaultColWidth="8.7109375" defaultRowHeight="15" x14ac:dyDescent="0.25"/>
  <cols>
    <col min="1" max="1" width="28" customWidth="1"/>
    <col min="2" max="2" width="22" customWidth="1"/>
    <col min="3" max="3" width="50" customWidth="1"/>
    <col min="4" max="4" width="2" customWidth="1"/>
  </cols>
  <sheetData>
    <row r="1" spans="1:4" ht="39.75" customHeight="1" x14ac:dyDescent="0.25">
      <c r="A1" s="14" t="s">
        <v>401</v>
      </c>
      <c r="B1" s="14"/>
      <c r="C1" s="14"/>
      <c r="D1" s="15"/>
    </row>
    <row r="2" spans="1:4" ht="18" customHeight="1" x14ac:dyDescent="0.25">
      <c r="A2" s="13" t="s">
        <v>402</v>
      </c>
      <c r="B2" s="13"/>
      <c r="C2" s="13"/>
      <c r="D2" s="15"/>
    </row>
    <row r="3" spans="1:4" ht="15.75" customHeight="1" x14ac:dyDescent="0.25">
      <c r="A3" s="15"/>
      <c r="B3" s="15"/>
      <c r="C3" s="15"/>
      <c r="D3" s="15"/>
    </row>
    <row r="4" spans="1:4" ht="21.75" customHeight="1" x14ac:dyDescent="0.25">
      <c r="A4" s="159" t="s">
        <v>403</v>
      </c>
      <c r="B4" s="159"/>
      <c r="C4" s="159"/>
      <c r="D4" s="15"/>
    </row>
    <row r="5" spans="1:4" ht="18" customHeight="1" x14ac:dyDescent="0.25">
      <c r="A5" s="29" t="s">
        <v>404</v>
      </c>
      <c r="B5" s="29" t="s">
        <v>405</v>
      </c>
      <c r="C5" s="29" t="s">
        <v>406</v>
      </c>
      <c r="D5" s="15"/>
    </row>
    <row r="6" spans="1:4" ht="36" customHeight="1" x14ac:dyDescent="0.25">
      <c r="A6" s="23" t="s">
        <v>407</v>
      </c>
      <c r="B6" s="23" t="s">
        <v>408</v>
      </c>
      <c r="C6" s="23" t="s">
        <v>409</v>
      </c>
      <c r="D6" s="15"/>
    </row>
    <row r="7" spans="1:4" ht="36" customHeight="1" x14ac:dyDescent="0.25">
      <c r="A7" s="21" t="s">
        <v>410</v>
      </c>
      <c r="B7" s="21" t="s">
        <v>411</v>
      </c>
      <c r="C7" s="21" t="s">
        <v>412</v>
      </c>
      <c r="D7" s="15"/>
    </row>
    <row r="8" spans="1:4" ht="36" customHeight="1" x14ac:dyDescent="0.25">
      <c r="A8" s="23" t="s">
        <v>413</v>
      </c>
      <c r="B8" s="23" t="s">
        <v>414</v>
      </c>
      <c r="C8" s="23" t="s">
        <v>415</v>
      </c>
      <c r="D8" s="15"/>
    </row>
    <row r="9" spans="1:4" ht="15.75" customHeight="1" x14ac:dyDescent="0.25">
      <c r="A9" s="15"/>
      <c r="B9" s="15"/>
      <c r="C9" s="15"/>
      <c r="D9" s="15"/>
    </row>
    <row r="10" spans="1:4" ht="21.75" customHeight="1" x14ac:dyDescent="0.25">
      <c r="A10" s="159" t="s">
        <v>416</v>
      </c>
      <c r="B10" s="159"/>
      <c r="C10" s="159"/>
      <c r="D10" s="15"/>
    </row>
    <row r="11" spans="1:4" ht="18" customHeight="1" x14ac:dyDescent="0.25">
      <c r="A11" s="29" t="s">
        <v>404</v>
      </c>
      <c r="B11" s="29" t="s">
        <v>405</v>
      </c>
      <c r="C11" s="29" t="s">
        <v>406</v>
      </c>
      <c r="D11" s="15"/>
    </row>
    <row r="12" spans="1:4" ht="36" customHeight="1" x14ac:dyDescent="0.25">
      <c r="A12" s="23" t="s">
        <v>417</v>
      </c>
      <c r="B12" s="23" t="s">
        <v>418</v>
      </c>
      <c r="C12" s="23" t="s">
        <v>419</v>
      </c>
      <c r="D12" s="15"/>
    </row>
    <row r="13" spans="1:4" ht="36" customHeight="1" x14ac:dyDescent="0.25">
      <c r="A13" s="21" t="s">
        <v>420</v>
      </c>
      <c r="B13" s="21" t="s">
        <v>421</v>
      </c>
      <c r="C13" s="21" t="s">
        <v>422</v>
      </c>
      <c r="D13" s="15"/>
    </row>
    <row r="14" spans="1:4" ht="36" customHeight="1" x14ac:dyDescent="0.25">
      <c r="A14" s="23" t="s">
        <v>423</v>
      </c>
      <c r="B14" s="23" t="s">
        <v>424</v>
      </c>
      <c r="C14" s="23" t="s">
        <v>425</v>
      </c>
      <c r="D14" s="15"/>
    </row>
    <row r="15" spans="1:4" ht="15.75" customHeight="1" x14ac:dyDescent="0.25">
      <c r="A15" s="15"/>
      <c r="B15" s="15"/>
      <c r="C15" s="15"/>
      <c r="D15" s="15"/>
    </row>
    <row r="16" spans="1:4" ht="21.75" customHeight="1" x14ac:dyDescent="0.25">
      <c r="A16" s="159" t="s">
        <v>426</v>
      </c>
      <c r="B16" s="159"/>
      <c r="C16" s="159"/>
      <c r="D16" s="15"/>
    </row>
    <row r="17" spans="1:5" ht="18" customHeight="1" x14ac:dyDescent="0.25">
      <c r="A17" s="29" t="s">
        <v>404</v>
      </c>
      <c r="B17" s="29" t="s">
        <v>405</v>
      </c>
      <c r="C17" s="29" t="s">
        <v>406</v>
      </c>
      <c r="D17" s="15"/>
    </row>
    <row r="18" spans="1:5" ht="36" customHeight="1" x14ac:dyDescent="0.25">
      <c r="A18" s="23" t="s">
        <v>427</v>
      </c>
      <c r="B18" s="23" t="s">
        <v>428</v>
      </c>
      <c r="C18" s="23" t="s">
        <v>429</v>
      </c>
      <c r="D18" s="15"/>
    </row>
    <row r="19" spans="1:5" ht="36" customHeight="1" x14ac:dyDescent="0.25">
      <c r="A19" s="21" t="s">
        <v>430</v>
      </c>
      <c r="B19" s="21" t="s">
        <v>428</v>
      </c>
      <c r="C19" s="21" t="s">
        <v>431</v>
      </c>
      <c r="D19" s="15"/>
    </row>
    <row r="20" spans="1:5" ht="36" customHeight="1" x14ac:dyDescent="0.25">
      <c r="A20" s="23" t="s">
        <v>432</v>
      </c>
      <c r="B20" s="23" t="s">
        <v>424</v>
      </c>
      <c r="C20" s="23" t="s">
        <v>433</v>
      </c>
      <c r="D20" s="15"/>
    </row>
    <row r="21" spans="1:5" ht="15.75" customHeight="1" x14ac:dyDescent="0.25">
      <c r="A21" s="15"/>
      <c r="B21" s="15"/>
      <c r="C21" s="15"/>
      <c r="D21" s="15"/>
    </row>
    <row r="22" spans="1:5" ht="21.75" customHeight="1" x14ac:dyDescent="0.25">
      <c r="A22" s="159" t="s">
        <v>434</v>
      </c>
      <c r="B22" s="159"/>
      <c r="C22" s="159"/>
      <c r="D22" s="15"/>
    </row>
    <row r="23" spans="1:5" ht="15.75" customHeight="1" x14ac:dyDescent="0.25">
      <c r="A23" s="15"/>
      <c r="B23" s="15"/>
      <c r="C23" s="15"/>
      <c r="D23" s="15"/>
    </row>
    <row r="24" spans="1:5" ht="43.5" customHeight="1" x14ac:dyDescent="0.25">
      <c r="A24" s="136" t="s">
        <v>435</v>
      </c>
      <c r="B24" s="160" t="s">
        <v>436</v>
      </c>
      <c r="C24" s="160"/>
      <c r="D24" s="15"/>
    </row>
    <row r="25" spans="1:5" ht="43.5" customHeight="1" x14ac:dyDescent="0.25">
      <c r="A25" s="137" t="s">
        <v>437</v>
      </c>
      <c r="B25" s="161" t="s">
        <v>438</v>
      </c>
      <c r="C25" s="161"/>
      <c r="D25" s="15"/>
    </row>
    <row r="26" spans="1:5" ht="43.5" customHeight="1" x14ac:dyDescent="0.25">
      <c r="A26" s="136" t="s">
        <v>439</v>
      </c>
      <c r="B26" s="160" t="s">
        <v>440</v>
      </c>
      <c r="C26" s="160"/>
      <c r="D26" s="15"/>
    </row>
    <row r="27" spans="1:5" ht="43.5" customHeight="1" x14ac:dyDescent="0.25">
      <c r="A27" s="137" t="s">
        <v>441</v>
      </c>
      <c r="B27" s="161" t="s">
        <v>442</v>
      </c>
      <c r="C27" s="161"/>
      <c r="D27" s="15"/>
    </row>
    <row r="28" spans="1:5" ht="43.5" customHeight="1" x14ac:dyDescent="0.25">
      <c r="A28" s="136" t="s">
        <v>443</v>
      </c>
      <c r="B28" s="160" t="s">
        <v>444</v>
      </c>
      <c r="C28" s="160"/>
      <c r="D28" s="15"/>
    </row>
    <row r="29" spans="1:5" ht="15.75" customHeight="1" x14ac:dyDescent="0.25">
      <c r="A29" s="15"/>
      <c r="B29" s="15"/>
      <c r="C29" s="15"/>
      <c r="D29" s="15"/>
      <c r="E29" s="15"/>
    </row>
    <row r="30" spans="1:5" ht="21.75" customHeight="1" x14ac:dyDescent="0.25">
      <c r="A30" s="11" t="s">
        <v>445</v>
      </c>
      <c r="B30" s="11"/>
      <c r="C30" s="11"/>
      <c r="D30" s="15"/>
      <c r="E30" s="15"/>
    </row>
    <row r="31" spans="1:5" ht="18" customHeight="1" x14ac:dyDescent="0.25">
      <c r="A31" s="18" t="s">
        <v>404</v>
      </c>
      <c r="B31" s="18" t="s">
        <v>405</v>
      </c>
      <c r="C31" s="18" t="s">
        <v>406</v>
      </c>
      <c r="D31" s="15"/>
      <c r="E31" s="15"/>
    </row>
    <row r="32" spans="1:5" ht="51.75" customHeight="1" x14ac:dyDescent="0.25">
      <c r="A32" s="23" t="s">
        <v>446</v>
      </c>
      <c r="B32" s="23" t="s">
        <v>447</v>
      </c>
      <c r="C32" s="23" t="s">
        <v>448</v>
      </c>
      <c r="D32" s="15"/>
      <c r="E32" s="15"/>
    </row>
    <row r="33" spans="1:5" ht="15.75" customHeight="1" x14ac:dyDescent="0.25">
      <c r="A33" s="15"/>
      <c r="B33" s="15"/>
      <c r="C33" s="15"/>
      <c r="D33" s="15"/>
      <c r="E33" s="15"/>
    </row>
    <row r="34" spans="1:5" ht="21.75" customHeight="1" x14ac:dyDescent="0.25">
      <c r="A34" s="11" t="s">
        <v>449</v>
      </c>
      <c r="B34" s="11"/>
      <c r="C34" s="11"/>
      <c r="D34" s="15"/>
      <c r="E34" s="15"/>
    </row>
    <row r="35" spans="1:5" ht="18" customHeight="1" x14ac:dyDescent="0.25">
      <c r="A35" s="18" t="s">
        <v>404</v>
      </c>
      <c r="B35" s="18" t="s">
        <v>405</v>
      </c>
      <c r="C35" s="18" t="s">
        <v>450</v>
      </c>
      <c r="D35" s="15"/>
      <c r="E35" s="15"/>
    </row>
    <row r="36" spans="1:5" ht="79.5" customHeight="1" x14ac:dyDescent="0.25">
      <c r="A36" s="23" t="s">
        <v>451</v>
      </c>
      <c r="B36" s="23" t="s">
        <v>452</v>
      </c>
      <c r="C36" s="23" t="s">
        <v>453</v>
      </c>
      <c r="D36" s="15"/>
      <c r="E36" s="15"/>
    </row>
    <row r="37" spans="1:5" ht="15.75" customHeight="1" x14ac:dyDescent="0.25">
      <c r="A37" s="15"/>
      <c r="B37" s="15"/>
      <c r="C37" s="15"/>
      <c r="D37" s="15"/>
      <c r="E37" s="15"/>
    </row>
    <row r="38" spans="1:5" ht="15.75" customHeight="1" x14ac:dyDescent="0.25">
      <c r="A38" s="15"/>
      <c r="B38" s="15"/>
      <c r="C38" s="15"/>
      <c r="D38" s="15"/>
      <c r="E38" s="15"/>
    </row>
    <row r="39" spans="1:5" ht="15.75" customHeight="1" x14ac:dyDescent="0.25">
      <c r="A39" s="15"/>
      <c r="B39" s="15"/>
      <c r="C39" s="15"/>
      <c r="D39" s="15"/>
      <c r="E39" s="15"/>
    </row>
    <row r="40" spans="1:5" ht="15.75" customHeight="1" x14ac:dyDescent="0.25">
      <c r="A40" s="15"/>
      <c r="B40" s="15"/>
      <c r="C40" s="15"/>
      <c r="D40" s="15"/>
      <c r="E40" s="15"/>
    </row>
    <row r="41" spans="1:5" ht="15.75" customHeight="1" x14ac:dyDescent="0.25"/>
    <row r="42" spans="1:5" ht="15.75" customHeight="1" x14ac:dyDescent="0.25"/>
    <row r="43" spans="1:5" ht="15.75" customHeight="1" x14ac:dyDescent="0.25"/>
    <row r="44" spans="1:5" ht="15.75" customHeight="1" x14ac:dyDescent="0.25"/>
    <row r="45" spans="1:5" ht="15.75" customHeight="1" x14ac:dyDescent="0.25"/>
    <row r="46" spans="1:5" ht="15.75" customHeight="1" x14ac:dyDescent="0.25"/>
    <row r="47" spans="1:5" ht="15.75" customHeight="1" x14ac:dyDescent="0.25"/>
    <row r="48" spans="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sheetData>
  <mergeCells count="13">
    <mergeCell ref="B28:C28"/>
    <mergeCell ref="A30:C30"/>
    <mergeCell ref="A34:C34"/>
    <mergeCell ref="A22:C22"/>
    <mergeCell ref="B24:C24"/>
    <mergeCell ref="B25:C25"/>
    <mergeCell ref="B26:C26"/>
    <mergeCell ref="B27:C27"/>
    <mergeCell ref="A1:C1"/>
    <mergeCell ref="A2:C2"/>
    <mergeCell ref="A4:C4"/>
    <mergeCell ref="A10:C10"/>
    <mergeCell ref="A16:C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vt:lpstr>
      <vt:lpstr>Calculator</vt:lpstr>
      <vt:lpstr>Presets</vt:lpstr>
      <vt:lpstr>Profiles</vt:lpstr>
      <vt:lpstr>Lookup</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Randy Houck</cp:lastModifiedBy>
  <cp:revision>0</cp:revision>
  <dcterms:created xsi:type="dcterms:W3CDTF">2026-02-18T16:46:13Z</dcterms:created>
  <dcterms:modified xsi:type="dcterms:W3CDTF">2026-02-27T20:49:33Z</dcterms:modified>
  <dc:language>en-US</dc:language>
</cp:coreProperties>
</file>